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3c9e71c94349d3" /></Relationships>
</file>

<file path=xl/workbook.xml><?xml version="1.0" encoding="utf-8"?>
<x:workbook xmlns:x="http://schemas.openxmlformats.org/spreadsheetml/2006/main">
  <x:sheets>
    <x:sheet xmlns:r="http://schemas.openxmlformats.org/officeDocument/2006/relationships" name="全体所見" sheetId="1" r:id="Reace16f7b3dc478e"/>
    <x:sheet xmlns:r="http://schemas.openxmlformats.org/officeDocument/2006/relationships" name="レビュー指摘" sheetId="2" r:id="R987b82b068bc48d0"/>
    <x:sheet xmlns:r="http://schemas.openxmlformats.org/officeDocument/2006/relationships" name="要確認一覧" sheetId="3" r:id="R09bd2e15a12b40e1"/>
    <x:sheet xmlns:r="http://schemas.openxmlformats.org/officeDocument/2006/relationships" name="章別チェック" sheetId="4" r:id="R531489eb98d446f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8"/>
      <x:color rgb="FFFFFFFF"/>
      <x:name val="Carlito"/>
    </x:font>
    <x:font>
      <x:i/>
      <x:sz val="11"/>
      <x:color rgb="FF334155"/>
      <x:name val="Carlito"/>
    </x:font>
    <x:font>
      <x:b/>
      <x:sz val="11"/>
      <x:color rgb="FFFFFFFF"/>
      <x:name val="Carlito"/>
    </x:font>
    <x:font>
      <x:sz val="10"/>
      <x:color rgb="FF1F2937"/>
      <x:name val="Carlito"/>
    </x:font>
    <x:font>
      <x:b/>
      <x:sz val="13"/>
      <x:color rgb="FF17324D"/>
      <x:name val="Carlito"/>
    </x:font>
    <x:font>
      <x:b/>
      <x:sz val="10"/>
      <x:color rgb="FFB42318"/>
      <x:name val="Carlito"/>
    </x:font>
    <x:font>
      <x:b/>
      <x:sz val="10"/>
      <x:color rgb="FFB54708"/>
      <x:name val="Carlito"/>
    </x:font>
    <x:font>
      <x:b/>
      <x:sz val="10"/>
      <x:color rgb="FF2B6CB0"/>
      <x:name val="Carlito"/>
    </x:font>
    <x:font>
      <x:i/>
      <x:sz val="11"/>
      <x:color rgb="FF475467"/>
      <x:name val="Carlito"/>
    </x:font>
    <x:font>
      <x:sz val="10"/>
      <x:color rgb="FF475467"/>
      <x:name val="Carlito"/>
    </x:font>
  </x:fonts>
  <x:fills count="8">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B6CB0"/>
      </x:patternFill>
    </x:fill>
    <x:fill>
      <x:patternFill patternType="solid">
        <x:fgColor rgb="FFFEE4E2"/>
      </x:patternFill>
    </x:fill>
    <x:fill>
      <x:patternFill patternType="solid">
        <x:fgColor rgb="FFFEF0C7"/>
      </x:patternFill>
    </x:fill>
    <x:fill>
      <x:patternFill patternType="solid">
        <x:fgColor rgb="FFF4F6F8"/>
      </x:patternFill>
    </x:fill>
  </x:fills>
  <x:borders count="19">
    <x:border/>
    <x:border>
      <x:left style="thin">
        <x:color rgb="FFCBD5E1"/>
      </x:left>
      <x:right style="thin">
        <x:color rgb="FFCBD5E1"/>
      </x:right>
      <x:top style="thin">
        <x:color rgb="FFCBD5E1"/>
      </x:top>
      <x:bottom style="thin">
        <x:color rgb="FFCBD5E1"/>
      </x:bottom>
    </x:border>
    <x:border>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top style="thin">
        <x:color rgb="FFE2E8F0"/>
      </x:top>
    </x:border>
    <x:border>
      <x:left style="thin">
        <x:color rgb="FFE2E8F0"/>
      </x:left>
      <x:right style="thin">
        <x:color rgb="FFE2E8F0"/>
      </x:right>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right style="thin">
        <x:color rgb="FFE2E8F0"/>
      </x:right>
      <x:top style="thin">
        <x:color rgb="FFE2E8F0"/>
      </x:top>
    </x:border>
    <x:border>
      <x:left style="thin">
        <x:color rgb="FFCBD5E1"/>
      </x:left>
      <x:right style="thin">
        <x:color rgb="FFE2E8F0"/>
      </x:right>
      <x:top style="thin">
        <x:color rgb="FFCBD5E1"/>
      </x:top>
      <x:bottom style="thin">
        <x:color rgb="FFE2E8F0"/>
      </x:bottom>
    </x:border>
    <x:border>
      <x:left style="thin">
        <x:color rgb="FFE2E8F0"/>
      </x:left>
      <x:right style="thin">
        <x:color rgb="FFE2E8F0"/>
      </x:right>
      <x:top style="thin">
        <x:color rgb="FFCBD5E1"/>
      </x:top>
      <x:bottom style="thin">
        <x:color rgb="FFE2E8F0"/>
      </x:bottom>
    </x:border>
    <x:border>
      <x:left style="thin">
        <x:color rgb="FFE2E8F0"/>
      </x:left>
      <x:right style="thin">
        <x:color rgb="FFCBD5E1"/>
      </x:right>
      <x:top style="thin">
        <x:color rgb="FFCBD5E1"/>
      </x:top>
      <x:bottom style="thin">
        <x:color rgb="FFE2E8F0"/>
      </x:bottom>
    </x:border>
    <x:border>
      <x:left style="thin">
        <x:color rgb="FFCBD5E1"/>
      </x:left>
      <x:right style="thin">
        <x:color rgb="FFE2E8F0"/>
      </x:right>
      <x:top style="thin">
        <x:color rgb="FFE2E8F0"/>
      </x:top>
      <x:bottom style="thin">
        <x:color rgb="FFE2E8F0"/>
      </x:bottom>
    </x:border>
    <x:border>
      <x:left style="thin">
        <x:color rgb="FFE2E8F0"/>
      </x:left>
      <x:right style="thin">
        <x:color rgb="FFCBD5E1"/>
      </x:right>
      <x:top style="thin">
        <x:color rgb="FFE2E8F0"/>
      </x:top>
      <x:bottom style="thin">
        <x:color rgb="FFE2E8F0"/>
      </x:bottom>
    </x:border>
    <x:border>
      <x:left style="thin">
        <x:color rgb="FFCBD5E1"/>
      </x:left>
      <x:right style="thin">
        <x:color rgb="FFE2E8F0"/>
      </x:right>
      <x:top style="thin">
        <x:color rgb="FFE2E8F0"/>
      </x:top>
      <x:bottom style="thin">
        <x:color rgb="FFCBD5E1"/>
      </x:bottom>
    </x:border>
    <x:border>
      <x:left style="thin">
        <x:color rgb="FFE2E8F0"/>
      </x:left>
      <x:right style="thin">
        <x:color rgb="FFE2E8F0"/>
      </x:right>
      <x:top style="thin">
        <x:color rgb="FFE2E8F0"/>
      </x:top>
      <x:bottom style="thin">
        <x:color rgb="FFCBD5E1"/>
      </x:bottom>
    </x:border>
    <x:border>
      <x:left style="thin">
        <x:color rgb="FFE2E8F0"/>
      </x:left>
      <x:right style="thin">
        <x:color rgb="FFCBD5E1"/>
      </x:right>
      <x:top style="thin">
        <x:color rgb="FFE2E8F0"/>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3" xfId="0" applyNumberFormat="1" applyFont="1" applyFill="1" applyBorder="1" applyAlignment="1">
      <x:alignment horizontal="right" vertical="top" wrapText="1"/>
    </x:xf>
    <x:xf numFmtId="0" fontId="4" fillId="0" borderId="5" xfId="0" applyNumberFormat="1" applyFont="1" applyFill="1" applyBorder="1" applyAlignment="1">
      <x:alignment horizontal="right" vertical="top" wrapText="1"/>
    </x:xf>
    <x:xf numFmtId="0" fontId="4" fillId="0" borderId="7" xfId="0" applyNumberFormat="1" applyFont="1" applyFill="1" applyBorder="1" applyAlignment="1">
      <x:alignment horizontal="right" vertical="top" wrapText="1"/>
    </x:xf>
    <x:xf numFmtId="200" fontId="4" fillId="0" borderId="3" xfId="0" applyNumberFormat="1" applyFont="1" applyFill="1" applyBorder="1" applyAlignment="1">
      <x:alignment horizontal="right" vertical="top" wrapText="1"/>
    </x:xf>
    <x:xf numFmtId="200" fontId="4" fillId="0" borderId="5" xfId="0" applyNumberFormat="1" applyFont="1" applyFill="1" applyBorder="1" applyAlignment="1">
      <x:alignment horizontal="right" vertical="top" wrapText="1"/>
    </x:xf>
    <x:xf numFmtId="200" fontId="4" fillId="0" borderId="7" xfId="0" applyNumberFormat="1" applyFont="1" applyFill="1" applyBorder="1" applyAlignment="1">
      <x:alignment horizontal="right" vertical="top" wrapText="1"/>
    </x:xf>
    <x:xf numFmtId="0" fontId="5" fillId="3" borderId="0" xfId="0" applyNumberFormat="1" applyFont="1" applyFill="1" applyBorder="1"/>
    <x:xf numFmtId="0" fontId="5" fillId="3" borderId="0" xfId="0" applyNumberFormat="1" applyFont="1" applyFill="1" applyBorder="1" applyAlignment="1">
      <x:alignment vertical="center"/>
    </x:xf>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6" fillId="5" borderId="8" xfId="0" applyNumberFormat="1" applyFont="1" applyFill="1" applyBorder="1" applyAlignment="1">
      <x:alignment vertical="top" wrapText="1"/>
    </x:xf>
    <x:xf numFmtId="0" fontId="6" fillId="5" borderId="8" xfId="0" applyNumberFormat="1" applyFont="1" applyFill="1" applyBorder="1" applyAlignment="1">
      <x:alignment horizontal="center" vertical="top" wrapText="1"/>
    </x:xf>
    <x:xf numFmtId="0" fontId="4" fillId="6" borderId="9" xfId="0" applyNumberFormat="1" applyFont="1" applyFill="1" applyBorder="1" applyAlignment="1">
      <x:alignment vertical="top" wrapText="1"/>
    </x:xf>
    <x:xf numFmtId="0" fontId="7" fillId="6" borderId="9" xfId="0" applyNumberFormat="1" applyFont="1" applyFill="1" applyBorder="1" applyAlignment="1">
      <x:alignment vertical="top" wrapText="1"/>
    </x:xf>
    <x:xf numFmtId="0" fontId="7" fillId="6" borderId="9" xfId="0" applyNumberFormat="1" applyFont="1" applyFill="1" applyBorder="1" applyAlignment="1">
      <x:alignment horizontal="center" vertical="top" wrapText="1"/>
    </x:xf>
    <x:xf numFmtId="0" fontId="4" fillId="3" borderId="9" xfId="0" applyNumberFormat="1" applyFont="1" applyFill="1" applyBorder="1" applyAlignment="1">
      <x:alignment vertical="top" wrapText="1"/>
    </x:xf>
    <x:xf numFmtId="0" fontId="8" fillId="3" borderId="9" xfId="0" applyNumberFormat="1" applyFont="1" applyFill="1" applyBorder="1" applyAlignment="1">
      <x:alignment vertical="top" wrapText="1"/>
    </x:xf>
    <x:xf numFmtId="0" fontId="8" fillId="3" borderId="9" xfId="0" applyNumberFormat="1" applyFont="1" applyFill="1" applyBorder="1" applyAlignment="1">
      <x:alignment horizontal="center" vertical="top" wrapText="1"/>
    </x:xf>
    <x:xf numFmtId="0" fontId="4" fillId="3" borderId="10" xfId="0" applyNumberFormat="1" applyFont="1" applyFill="1" applyBorder="1" applyAlignment="1">
      <x:alignment vertical="top" wrapText="1"/>
    </x:xf>
    <x:xf numFmtId="0" fontId="8" fillId="3" borderId="10" xfId="0" applyNumberFormat="1" applyFont="1" applyFill="1" applyBorder="1" applyAlignment="1">
      <x:alignment vertical="top" wrapText="1"/>
    </x:xf>
    <x:xf numFmtId="0" fontId="8" fillId="3" borderId="10" xfId="0" applyNumberFormat="1" applyFont="1" applyFill="1" applyBorder="1" applyAlignment="1">
      <x:alignment horizontal="center" vertical="top"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0" fillId="0" borderId="12" xfId="0" applyNumberFormat="1" applyFont="1" applyFill="1" applyBorder="1"/>
    <x:xf numFmtId="0" fontId="0" fillId="0" borderId="13" xfId="0" applyNumberFormat="1" applyFont="1" applyFill="1" applyBorder="1"/>
    <x:xf numFmtId="0" fontId="4" fillId="0" borderId="14" xfId="0" applyNumberFormat="1" applyFont="1" applyFill="1" applyBorder="1" applyAlignment="1">
      <x:alignment vertical="top" wrapText="1"/>
    </x:xf>
    <x:xf numFmtId="200" fontId="4" fillId="0" borderId="9" xfId="0" applyNumberFormat="1" applyFont="1" applyFill="1" applyBorder="1" applyAlignment="1">
      <x:alignment horizontal="right" vertical="top" wrapText="1"/>
    </x:xf>
    <x:xf numFmtId="0" fontId="0" fillId="0" borderId="9" xfId="0" applyNumberFormat="1" applyFont="1" applyFill="1" applyBorder="1"/>
    <x:xf numFmtId="0" fontId="0" fillId="0" borderId="15" xfId="0" applyNumberFormat="1" applyFont="1" applyFill="1" applyBorder="1"/>
    <x:xf numFmtId="0" fontId="0" fillId="0" borderId="14" xfId="0" applyNumberFormat="1" applyFont="1" applyFill="1" applyBorder="1"/>
    <x:xf numFmtId="0" fontId="5" fillId="3" borderId="14" xfId="0" applyNumberFormat="1" applyFont="1" applyFill="1" applyBorder="1" applyAlignment="1">
      <x:alignment vertical="center"/>
    </x:xf>
    <x:xf numFmtId="0" fontId="5" fillId="3" borderId="9" xfId="0" applyNumberFormat="1" applyFont="1" applyFill="1" applyBorder="1" applyAlignment="1">
      <x:alignment vertical="center"/>
    </x:xf>
    <x:xf numFmtId="0" fontId="5" fillId="3" borderId="15" xfId="0" applyNumberFormat="1" applyFont="1" applyFill="1" applyBorder="1" applyAlignment="1">
      <x:alignment vertical="center"/>
    </x:xf>
    <x:xf numFmtId="0" fontId="3" fillId="4" borderId="14"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6" fillId="5" borderId="9" xfId="0" applyNumberFormat="1" applyFont="1" applyFill="1" applyBorder="1" applyAlignment="1">
      <x:alignment horizontal="center"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4" fillId="5" borderId="9" xfId="0" applyNumberFormat="1" applyFont="1" applyFill="1" applyBorder="1" applyAlignment="1">
      <x:alignment vertical="top" wrapText="1"/>
    </x:xf>
    <x:xf numFmtId="0" fontId="6" fillId="5" borderId="9" xfId="0" applyNumberFormat="1" applyFont="1" applyFill="1" applyBorder="1" applyAlignment="1">
      <x:alignment vertical="top" wrapText="1"/>
    </x:xf>
    <x:xf numFmtId="0" fontId="4" fillId="7" borderId="10" xfId="0" applyNumberFormat="1" applyFont="1" applyFill="1" applyBorder="1" applyAlignment="1">
      <x:alignment vertical="top" wrapText="1"/>
    </x:xf>
    <x:xf numFmtId="0" fontId="10" fillId="7" borderId="10" xfId="0" applyNumberFormat="1" applyFont="1" applyFill="1" applyBorder="1" applyAlignment="1">
      <x:alignment vertical="top" wrapText="1"/>
    </x:xf>
    <x:xf numFmtId="0" fontId="10" fillId="7" borderId="10" xfId="0" applyNumberFormat="1" applyFont="1" applyFill="1" applyBorder="1" applyAlignment="1">
      <x:alignment horizontal="center" vertical="top" wrapText="1"/>
    </x:xf>
    <x:xf numFmtId="0" fontId="4" fillId="0" borderId="2"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4" fillId="0" borderId="6" xfId="0" applyNumberFormat="1" applyFont="1" applyFill="1" applyBorder="1" applyAlignment="1">
      <x:alignment horizontal="center" vertical="top" wrapText="1"/>
    </x:xf>
    <x:xf numFmtId="0" fontId="4" fillId="3" borderId="8" xfId="0" applyNumberFormat="1" applyFont="1" applyFill="1" applyBorder="1" applyAlignment="1">
      <x:alignment vertical="top" wrapText="1"/>
    </x:xf>
    <x:xf numFmtId="0" fontId="8" fillId="3" borderId="8" xfId="0" applyNumberFormat="1" applyFont="1" applyFill="1" applyBorder="1" applyAlignment="1">
      <x:alignment vertical="top" wrapText="1"/>
    </x:xf>
    <x:xf numFmtId="0" fontId="8" fillId="3" borderId="8" xfId="0" applyNumberFormat="1" applyFont="1" applyFill="1" applyBorder="1" applyAlignment="1">
      <x:alignment horizontal="center" vertical="top" wrapText="1"/>
    </x:xf>
    <x:xf numFmtId="0" fontId="4" fillId="6" borderId="10" xfId="0" applyNumberFormat="1" applyFont="1" applyFill="1" applyBorder="1" applyAlignment="1">
      <x:alignment vertical="top" wrapText="1"/>
    </x:xf>
    <x:xf numFmtId="0" fontId="7" fillId="6" borderId="10" xfId="0" applyNumberFormat="1" applyFont="1" applyFill="1" applyBorder="1" applyAlignment="1">
      <x:alignment vertical="top" wrapText="1"/>
    </x:xf>
    <x:xf numFmtId="0" fontId="7" fillId="6" borderId="10"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4" fillId="0" borderId="9" xfId="0" applyNumberFormat="1" applyFont="1" applyFill="1" applyBorder="1" applyAlignment="1">
      <x:alignment horizontal="center" vertical="top" wrapText="1"/>
    </x:xf>
    <x:xf numFmtId="0" fontId="4" fillId="0" borderId="10" xfId="0" applyNumberFormat="1" applyFont="1" applyFill="1" applyBorder="1" applyAlignment="1">
      <x:alignment horizontal="center" vertical="top" wrapText="1"/>
    </x:xf>
    <x:xf numFmtId="200" fontId="4" fillId="0" borderId="8"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0" fontId="4" fillId="0" borderId="10" xfId="0" applyNumberFormat="1" applyFont="1" applyFill="1" applyBorder="1" applyAlignment="1">
      <x:alignment vertical="top" wrapText="1"/>
    </x:xf>
    <x:xf numFmtId="200" fontId="4" fillId="0" borderId="8" xfId="0" applyNumberFormat="1" applyFont="1" applyFill="1" applyBorder="1" applyAlignment="1">
      <x:alignment horizontal="center" vertical="top" wrapText="1"/>
    </x:xf>
    <x:xf numFmtId="200" fontId="4" fillId="0" borderId="9" xfId="0" applyNumberFormat="1" applyFont="1" applyFill="1" applyBorder="1" applyAlignment="1">
      <x:alignment horizontal="center" vertical="top" wrapText="1"/>
    </x:xf>
    <x:xf numFmtId="200" fontId="4" fillId="0" borderId="1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2e74a0bab04a1f" /><Relationship Type="http://schemas.openxmlformats.org/officeDocument/2006/relationships/theme" Target="/xl/theme/theme1.xml" Id="R95ab691766fd4b82" /><Relationship Type="http://schemas.openxmlformats.org/officeDocument/2006/relationships/sharedStrings" Target="/xl/sharedStrings.xml" Id="Rde7a442727d24306" /><Relationship Type="http://schemas.openxmlformats.org/officeDocument/2006/relationships/worksheet" Target="/xl/worksheets/sheet1.xml" Id="Reace16f7b3dc478e" /><Relationship Type="http://schemas.openxmlformats.org/officeDocument/2006/relationships/worksheet" Target="/xl/worksheets/sheet2.xml" Id="R987b82b068bc48d0" /><Relationship Type="http://schemas.openxmlformats.org/officeDocument/2006/relationships/worksheet" Target="/xl/worksheets/sheet3.xml" Id="R09bd2e15a12b40e1" /><Relationship Type="http://schemas.openxmlformats.org/officeDocument/2006/relationships/worksheet" Target="/xl/worksheets/sheet4.xml" Id="R531489eb98d446ff" /></Relationships>
</file>

<file path=xl/tables/table1.xml><?xml version="1.0" encoding="utf-8"?>
<x:table xmlns:x="http://schemas.openxmlformats.org/spreadsheetml/2006/main" id="1" name="ReviewFindingsTable" displayName="ReviewFindingsTable" ref="A4:N30" headerRowCount="1" totalsRowCount="0" totalsRowShown="0">
  <x:tableColumns count="14">
    <x:tableColumn id="1" name="ID"/>
    <x:tableColumn id="2" name="優先度"/>
    <x:tableColumn id="3" name="状態"/>
    <x:tableColumn id="4" name="対象範囲"/>
    <x:tableColumn id="5" name="章"/>
    <x:tableColumn id="6" name="章タイトル"/>
    <x:tableColumn id="7" name="節・位置"/>
    <x:tableColumn id="8" name="原文（検索用）"/>
    <x:tableColumn id="9" name="指摘の種類"/>
    <x:tableColumn id="10" name="指摘内容"/>
    <x:tableColumn id="11" name="希望する直し"/>
    <x:tableColumn id="12" name="確認方法・根拠"/>
    <x:tableColumn id="13" name="ファイル／行"/>
    <x:tableColumn id="14" name="公開URL"/>
  </x:tableColumns>
  <x:tableStyleInfo name="TableStyleMedium2" showFirstColumn="0" showLastColumn="0" showRowStripes="1" showColumnStripes="0"/>
</x:table>
</file>

<file path=xl/tables/table2.xml><?xml version="1.0" encoding="utf-8"?>
<x:table xmlns:x="http://schemas.openxmlformats.org/spreadsheetml/2006/main" id="2" name="NeedsVerificationTable" displayName="NeedsVerificationTable" ref="A4:L60" headerRowCount="1" totalsRowCount="0" totalsRowShown="0">
  <x:tableColumns count="12">
    <x:tableColumn id="1" name="ID"/>
    <x:tableColumn id="2" name="優先度"/>
    <x:tableColumn id="3" name="状態"/>
    <x:tableColumn id="4" name="章"/>
    <x:tableColumn id="5" name="章タイトル"/>
    <x:tableColumn id="6" name="節"/>
    <x:tableColumn id="7" name="行"/>
    <x:tableColumn id="8" name="原文（そのまま）"/>
    <x:tableColumn id="9" name="分類"/>
    <x:tableColumn id="10" name="推奨対応"/>
    <x:tableColumn id="11" name="ファイル"/>
    <x:tableColumn id="12" name="公開URL"/>
  </x:tableColumns>
  <x:tableStyleInfo name="TableStyleMedium2" showFirstColumn="0" showLastColumn="0" showRowStripes="1" showColumnStripes="0"/>
</x:table>
</file>

<file path=xl/tables/table3.xml><?xml version="1.0" encoding="utf-8"?>
<x:table xmlns:x="http://schemas.openxmlformats.org/spreadsheetml/2006/main" id="3" name="ChapterAuditTable" displayName="ChapterAuditTable" ref="A4:J60" headerRowCount="1" totalsRowCount="0" totalsRowShown="0">
  <x:tableColumns count="10">
    <x:tableColumn id="1" name="章"/>
    <x:tableColumn id="2" name="章タイトル"/>
    <x:tableColumn id="3" name="文字数"/>
    <x:tableColumn id="4" name="節番号"/>
    <x:tableColumn id="5" name="Evidence meter"/>
    <x:tableColumn id="6" name="参考文献"/>
    <x:tableColumn id="7" name="要確認件数"/>
    <x:tableColumn id="8" name="公開HTML"/>
    <x:tableColumn id="9" name="画像数"/>
    <x:tableColumn id="10" name="備考"/>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290aeaae257418b" /></Relationships>
</file>

<file path=xl/worksheets/_rels/sheet3.xml.rels>&#65279;<?xml version="1.0" encoding="utf-8"?><Relationships xmlns="http://schemas.openxmlformats.org/package/2006/relationships"><Relationship Type="http://schemas.openxmlformats.org/officeDocument/2006/relationships/table" Target="/xl/tables/table2.xml" Id="R5435ede3fa464eb4" /></Relationships>
</file>

<file path=xl/worksheets/_rels/sheet4.xml.rels>&#65279;<?xml version="1.0" encoding="utf-8"?><Relationships xmlns="http://schemas.openxmlformats.org/package/2006/relationships"><Relationship Type="http://schemas.openxmlformats.org/officeDocument/2006/relationships/table" Target="/xl/tables/table3.xml" Id="R3d7aeb3c60284675"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18" hidden="0" customWidth="1"/>
    <x:col min="4" max="4" width="68" hidden="0" customWidth="1"/>
    <x:col min="5" max="5" width="12" hidden="0" customWidth="1"/>
    <x:col min="6" max="6" width="12" hidden="0" customWidth="1"/>
    <x:col min="7" max="7" width="12" hidden="0" customWidth="1"/>
    <x:col min="8" max="8" width="12" hidden="0" customWidth="1"/>
  </x:cols>
  <x:sheetData>
    <x:row r="1" ht="32" customHeight="1">
      <x:c r="A1" s="3" t="str">
        <x:v>美容医療・細胞教科書　サイトレビュー</x:v>
      </x:c>
      <x:c r="B1" s="3"/>
      <x:c r="C1" s="3"/>
      <x:c r="D1" s="3"/>
      <x:c r="E1" s="3"/>
      <x:c r="F1" s="3"/>
      <x:c r="G1" s="3"/>
      <x:c r="H1" s="3"/>
    </x:row>
    <x:row r="2" ht="28" customHeight="1">
      <x:c r="A2" s="7" t="str">
        <x:v>公開ページとローカル原稿を2026-08-06に確認。表示・導線・アクセシビリティ・校正状態を優先して整理しています。医学的事実の全件再査読ではありません。</x:v>
      </x:c>
      <x:c r="B2" s="7"/>
      <x:c r="C2" s="7"/>
      <x:c r="D2" s="7"/>
      <x:c r="E2" s="7"/>
      <x:c r="F2" s="7"/>
      <x:c r="G2" s="7"/>
      <x:c r="H2" s="7"/>
    </x:row>
    <x:row r="4" ht="32" customHeight="1">
      <x:c r="A4" s="62" t="str">
        <x:v>監査対象</x:v>
      </x:c>
      <x:c r="B4" s="63" t="str">
        <x:v>値</x:v>
      </x:c>
      <x:c r="C4" s="64"/>
      <x:c r="D4" s="63" t="str">
        <x:v>レビュー指摘</x:v>
      </x:c>
      <x:c r="E4" s="63" t="str">
        <x:v>件数</x:v>
      </x:c>
      <x:c r="F4" s="64"/>
      <x:c r="G4" s="64"/>
      <x:c r="H4" s="65"/>
    </x:row>
    <x:row r="5">
      <x:c r="A5" s="66" t="str">
        <x:v>章数</x:v>
      </x:c>
      <x:c r="B5" s="67" t="n">
        <x:v>56</x:v>
      </x:c>
      <x:c r="C5" s="68"/>
      <x:c r="D5" s="48" t="str">
        <x:v>最優先</x:v>
      </x:c>
      <x:c r="E5" s="67" t="n">
        <x:f>COUNTIF('レビュー指摘'!$B$5:$B$200,D5)</x:f>
        <x:v>3</x:v>
      </x:c>
      <x:c r="F5" s="68"/>
      <x:c r="G5" s="68"/>
      <x:c r="H5" s="69"/>
    </x:row>
    <x:row r="6">
      <x:c r="A6" s="66" t="str">
        <x:v>公開HTML</x:v>
      </x:c>
      <x:c r="B6" s="67" t="n">
        <x:v>57</x:v>
      </x:c>
      <x:c r="C6" s="68"/>
      <x:c r="D6" s="48" t="str">
        <x:v>高</x:v>
      </x:c>
      <x:c r="E6" s="67" t="n">
        <x:f>COUNTIF('レビュー指摘'!$B$5:$B$200,D6)</x:f>
        <x:v>13</x:v>
      </x:c>
      <x:c r="F6" s="68"/>
      <x:c r="G6" s="68"/>
      <x:c r="H6" s="69"/>
    </x:row>
    <x:row r="7">
      <x:c r="A7" s="66" t="str">
        <x:v>画像</x:v>
      </x:c>
      <x:c r="B7" s="67" t="n">
        <x:v>326</x:v>
      </x:c>
      <x:c r="C7" s="68"/>
      <x:c r="D7" s="48" t="str">
        <x:v>中</x:v>
      </x:c>
      <x:c r="E7" s="67" t="n">
        <x:f>COUNTIF('レビュー指摘'!$B$5:$B$200,D7)</x:f>
        <x:v>9</x:v>
      </x:c>
      <x:c r="F7" s="68"/>
      <x:c r="G7" s="68"/>
      <x:c r="H7" s="69"/>
    </x:row>
    <x:row r="8">
      <x:c r="A8" s="66" t="str">
        <x:v>リンク切れ／画像欠落</x:v>
      </x:c>
      <x:c r="B8" s="67" t="n">
        <x:v>0</x:v>
      </x:c>
      <x:c r="C8" s="68"/>
      <x:c r="D8" s="48" t="str">
        <x:v>低</x:v>
      </x:c>
      <x:c r="E8" s="67" t="n">
        <x:f>COUNTIF('レビュー指摘'!$B$5:$B$200,D8)</x:f>
        <x:v>1</x:v>
      </x:c>
      <x:c r="F8" s="68"/>
      <x:c r="G8" s="68"/>
      <x:c r="H8" s="69"/>
    </x:row>
    <x:row r="9">
      <x:c r="A9" s="66" t="str">
        <x:v>『要確認』</x:v>
      </x:c>
      <x:c r="B9" s="67" t="n">
        <x:v>56</x:v>
      </x:c>
      <x:c r="C9" s="68"/>
      <x:c r="D9" s="48" t="str">
        <x:v>未対応合計</x:v>
      </x:c>
      <x:c r="E9" s="67" t="n">
        <x:f>COUNTIF('レビュー指摘'!$C$5:$C$200,"未対応")</x:f>
        <x:v>26</x:v>
      </x:c>
      <x:c r="F9" s="68"/>
      <x:c r="G9" s="68"/>
      <x:c r="H9" s="69"/>
    </x:row>
    <x:row r="10">
      <x:c r="A10" s="70"/>
      <x:c r="B10" s="68"/>
      <x:c r="C10" s="68"/>
      <x:c r="D10" s="68"/>
      <x:c r="E10" s="68"/>
      <x:c r="F10" s="68"/>
      <x:c r="G10" s="68"/>
      <x:c r="H10" s="69"/>
    </x:row>
    <x:row r="11">
      <x:c r="A11" s="70"/>
      <x:c r="B11" s="68"/>
      <x:c r="C11" s="68"/>
      <x:c r="D11" s="68"/>
      <x:c r="E11" s="68"/>
      <x:c r="F11" s="68"/>
      <x:c r="G11" s="68"/>
      <x:c r="H11" s="69"/>
    </x:row>
    <x:row r="12" ht="26" customHeight="1">
      <x:c r="A12" s="71" t="str">
        <x:v>大まかに気になったところ</x:v>
      </x:c>
      <x:c r="B12" s="72"/>
      <x:c r="C12" s="72"/>
      <x:c r="D12" s="72"/>
      <x:c r="E12" s="72"/>
      <x:c r="F12" s="72"/>
      <x:c r="G12" s="72"/>
      <x:c r="H12" s="73"/>
    </x:row>
    <x:row r="13" ht="32" customHeight="1">
      <x:c r="A13" s="74" t="str">
        <x:v>順</x:v>
      </x:c>
      <x:c r="B13" s="75" t="str">
        <x:v>優先度</x:v>
      </x:c>
      <x:c r="C13" s="75" t="str">
        <x:v>観点</x:v>
      </x:c>
      <x:c r="D13" s="75" t="str">
        <x:v>所見</x:v>
      </x:c>
      <x:c r="E13" s="68"/>
      <x:c r="F13" s="68"/>
      <x:c r="G13" s="68"/>
      <x:c r="H13" s="69"/>
    </x:row>
    <x:row r="14">
      <x:c r="A14" s="66" t="str">
        <x:v>1</x:v>
      </x:c>
      <x:c r="B14" s="76" t="str">
        <x:v>最優先</x:v>
      </x:c>
      <x:c r="C14" s="48" t="str">
        <x:v>表示欠落</x:v>
      </x:c>
      <x:c r="D14" s="48" t="str">
        <x:v>第37章と第48章で、半角 &lt; 以降の文章がHTMLとして解釈され、公開表示から消えています。生成処理のエスケープ修正が最優先です。</x:v>
      </x:c>
      <x:c r="E14" s="68"/>
      <x:c r="F14" s="68"/>
      <x:c r="G14" s="68"/>
      <x:c r="H14" s="69"/>
    </x:row>
    <x:row r="15">
      <x:c r="A15" s="66" t="str">
        <x:v>2</x:v>
      </x:c>
      <x:c r="B15" s="55" t="str">
        <x:v>高</x:v>
      </x:c>
      <x:c r="C15" s="48" t="str">
        <x:v>記法崩れ</x:v>
      </x:c>
      <x:c r="D15" s="48" t="str">
        <x:v>参考文献の *誌名* が31ページ196箇所、図説明の **強調** が12ページ70箇所で記号のまま見えます。</x:v>
      </x:c>
      <x:c r="E15" s="68"/>
      <x:c r="F15" s="68"/>
      <x:c r="G15" s="68"/>
      <x:c r="H15" s="69"/>
    </x:row>
    <x:row r="16">
      <x:c r="A16" s="66" t="str">
        <x:v>3</x:v>
      </x:c>
      <x:c r="B16" s="55" t="str">
        <x:v>高</x:v>
      </x:c>
      <x:c r="C16" s="48" t="str">
        <x:v>校正状態</x:v>
      </x:c>
      <x:c r="D16" s="48" t="str">
        <x:v>『要確認』が20章56箇所。安全性・妊娠・規制・適応を含むため、公開版では読者向け留保と編集メモを分ける必要があります。</x:v>
      </x:c>
      <x:c r="E16" s="68"/>
      <x:c r="F16" s="68"/>
      <x:c r="G16" s="68"/>
      <x:c r="H16" s="69"/>
    </x:row>
    <x:row r="17">
      <x:c r="A17" s="66" t="str">
        <x:v>4</x:v>
      </x:c>
      <x:c r="B17" s="55" t="str">
        <x:v>高</x:v>
      </x:c>
      <x:c r="C17" s="48" t="str">
        <x:v>章構造</x:v>
      </x:c>
      <x:c r="D17" s="48" t="str">
        <x:v>第38章は§2が重複。第37〜39章の『3部作の第1〜3章』は自動リンクにより教材の第1〜3章へ誤リンクします。</x:v>
      </x:c>
      <x:c r="E17" s="68"/>
      <x:c r="F17" s="68"/>
      <x:c r="G17" s="68"/>
      <x:c r="H17" s="69"/>
    </x:row>
    <x:row r="18">
      <x:c r="A18" s="66" t="str">
        <x:v>5</x:v>
      </x:c>
      <x:c r="B18" s="58" t="str">
        <x:v>中</x:v>
      </x:c>
      <x:c r="C18" s="48" t="str">
        <x:v>根拠導線</x:v>
      </x:c>
      <x:c r="D18" s="48" t="str">
        <x:v>参考文献のPMID/DOIがリンク化されておらず、Evidence meter・参考文献の有無も章によって異なります。</x:v>
      </x:c>
      <x:c r="E18" s="68"/>
      <x:c r="F18" s="68"/>
      <x:c r="G18" s="68"/>
      <x:c r="H18" s="69"/>
    </x:row>
    <x:row r="19">
      <x:c r="A19" s="66" t="str">
        <x:v>6</x:v>
      </x:c>
      <x:c r="B19" s="58" t="str">
        <x:v>中</x:v>
      </x:c>
      <x:c r="C19" s="48" t="str">
        <x:v>使いやすさ</x:v>
      </x:c>
      <x:c r="D19" s="48" t="str">
        <x:v>文章と図は読みやすく、スマホ表示も概ね良好です。一方、56章を横断する検索、章内目次、見出しへの直リンクがありません。</x:v>
      </x:c>
      <x:c r="E19" s="68"/>
      <x:c r="F19" s="68"/>
      <x:c r="G19" s="68"/>
      <x:c r="H19" s="69"/>
    </x:row>
    <x:row r="20">
      <x:c r="A20" s="66" t="str">
        <x:v>7</x:v>
      </x:c>
      <x:c r="B20" s="58" t="str">
        <x:v>中</x:v>
      </x:c>
      <x:c r="C20" s="48" t="str">
        <x:v>アクセシビリティ</x:v>
      </x:c>
      <x:c r="D20" s="48" t="str">
        <x:v>目次開閉と図拡大がクリック中心で、キーボード・スクリーンリーダー向けの状態通知が不足します。</x:v>
      </x:c>
      <x:c r="E20" s="68"/>
      <x:c r="F20" s="68"/>
      <x:c r="G20" s="68"/>
      <x:c r="H20" s="69"/>
    </x:row>
    <x:row r="21">
      <x:c r="A21" s="66" t="str">
        <x:v>8</x:v>
      </x:c>
      <x:c r="B21" s="58" t="str">
        <x:v>中</x:v>
      </x:c>
      <x:c r="C21" s="48" t="str">
        <x:v>更新性</x:v>
      </x:c>
      <x:c r="D21" s="48" t="str">
        <x:v>医学・規制情報を含むため、版番号・最終更新日・情報確認日の表示があると信頼性を判断しやすくなります。</x:v>
      </x:c>
      <x:c r="E21" s="68"/>
      <x:c r="F21" s="68"/>
      <x:c r="G21" s="68"/>
      <x:c r="H21" s="69"/>
    </x:row>
    <x:row r="22">
      <x:c r="A22" s="77"/>
      <x:c r="B22" s="78"/>
      <x:c r="C22" s="78"/>
      <x:c r="D22" s="78"/>
      <x:c r="E22" s="78"/>
      <x:c r="F22" s="78"/>
      <x:c r="G22" s="78"/>
      <x:c r="H22" s="79"/>
    </x:row>
    <x:row r="24" ht="46" customHeight="1">
      <x:c r="A24" s="83" t="str">
        <x:v>確認範囲：公開57 HTML、全56章のMarkdown、内部リンク、画像参照、デスクトップ／390×844px表示。公開ページではJavaScriptの警告・エラーは確認されませんでした。医学的主張の一次文献照合は『要確認一覧』を起点に別工程で行う想定です。</x:v>
      </x:c>
      <x:c r="B24" s="83"/>
      <x:c r="C24" s="83"/>
      <x:c r="D24" s="83"/>
      <x:c r="E24" s="83"/>
      <x:c r="F24" s="83"/>
      <x:c r="G24" s="83"/>
      <x:c r="H24" s="83"/>
    </x:row>
  </x:sheetData>
  <x:mergeCells>
    <x:mergeCell ref="A1:H1"/>
    <x:mergeCell ref="A2:H2"/>
    <x:mergeCell ref="A12:H12"/>
    <x:mergeCell ref="A24:H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12" hidden="0" customWidth="1"/>
    <x:col min="4" max="4" width="13" hidden="0" customWidth="1"/>
    <x:col min="5" max="5" width="12" hidden="0" customWidth="1"/>
    <x:col min="6" max="6" width="24" hidden="0" customWidth="1"/>
    <x:col min="7" max="7" width="25" hidden="0" customWidth="1"/>
    <x:col min="8" max="8" width="42" hidden="0" customWidth="1"/>
    <x:col min="9" max="9" width="20" hidden="0" customWidth="1"/>
    <x:col min="10" max="10" width="46" hidden="0" customWidth="1"/>
    <x:col min="11" max="11" width="46" hidden="0" customWidth="1"/>
    <x:col min="12" max="12" width="46" hidden="0" customWidth="1"/>
    <x:col min="13" max="13" width="36" hidden="0" customWidth="1"/>
    <x:col min="14" max="14" width="45" hidden="0" customWidth="1"/>
  </x:cols>
  <x:sheetData>
    <x:row r="1" ht="32" customHeight="1">
      <x:c r="A1" s="3" t="str">
        <x:v>レビュー指摘</x:v>
      </x:c>
      <x:c r="B1" s="3"/>
      <x:c r="C1" s="3"/>
      <x:c r="D1" s="3"/>
      <x:c r="E1" s="3"/>
      <x:c r="F1" s="3"/>
      <x:c r="G1" s="3"/>
      <x:c r="H1" s="3"/>
      <x:c r="I1" s="3"/>
      <x:c r="J1" s="3"/>
      <x:c r="K1" s="3"/>
      <x:c r="L1" s="3"/>
      <x:c r="M1" s="3"/>
      <x:c r="N1" s="3"/>
    </x:row>
    <x:row r="2" ht="28" customHeight="1">
      <x:c r="A2" s="7" t="str">
        <x:v>1行＝1件。原文（検索用）を手掛かりに、Markdownまたはbuild_site.py側を修正してください。状態・優先度は編集できます。</x:v>
      </x:c>
      <x:c r="B2" s="7"/>
      <x:c r="C2" s="7"/>
      <x:c r="D2" s="7"/>
      <x:c r="E2" s="7"/>
      <x:c r="F2" s="7"/>
      <x:c r="G2" s="7"/>
      <x:c r="H2" s="7"/>
      <x:c r="I2" s="7"/>
      <x:c r="J2" s="7"/>
      <x:c r="K2" s="7"/>
      <x:c r="L2" s="7"/>
      <x:c r="M2" s="7"/>
      <x:c r="N2" s="7"/>
    </x:row>
    <x:row r="4" ht="32" customHeight="1">
      <x:c r="A4" s="13" t="str">
        <x:v>ID</x:v>
      </x:c>
      <x:c r="B4" s="13" t="str">
        <x:v>優先度</x:v>
      </x:c>
      <x:c r="C4" s="13" t="str">
        <x:v>状態</x:v>
      </x:c>
      <x:c r="D4" s="13" t="str">
        <x:v>対象範囲</x:v>
      </x:c>
      <x:c r="E4" s="13" t="str">
        <x:v>章</x:v>
      </x:c>
      <x:c r="F4" s="13" t="str">
        <x:v>章タイトル</x:v>
      </x:c>
      <x:c r="G4" s="13" t="str">
        <x:v>節・位置</x:v>
      </x:c>
      <x:c r="H4" s="13" t="str">
        <x:v>原文（検索用）</x:v>
      </x:c>
      <x:c r="I4" s="13" t="str">
        <x:v>指摘の種類</x:v>
      </x:c>
      <x:c r="J4" s="13" t="str">
        <x:v>指摘内容</x:v>
      </x:c>
      <x:c r="K4" s="13" t="str">
        <x:v>希望する直し</x:v>
      </x:c>
      <x:c r="L4" s="13" t="str">
        <x:v>確認方法・根拠</x:v>
      </x:c>
      <x:c r="M4" s="13" t="str">
        <x:v>ファイル／行</x:v>
      </x:c>
      <x:c r="N4" s="13" t="str">
        <x:v>公開URL</x:v>
      </x:c>
    </x:row>
    <x:row r="5" ht="88" customHeight="1">
      <x:c r="A5" s="89" t="str">
        <x:v>R001</x:v>
      </x:c>
      <x:c r="B5" s="52" t="str">
        <x:v>最優先</x:v>
      </x:c>
      <x:c r="C5" s="47" t="str">
        <x:v>未対応</x:v>
      </x:c>
      <x:c r="D5" s="47" t="str">
        <x:v>公開全体</x:v>
      </x:c>
      <x:c r="E5" s="47" t="str">
        <x:v>全体</x:v>
      </x:c>
      <x:c r="F5" s="47" t="str">
        <x:v>HTML生成</x:v>
      </x:c>
      <x:c r="G5" s="47" t="str">
        <x:v>本文・図キャプション全般</x:v>
      </x:c>
      <x:c r="H5" s="47" t="str">
        <x:v>inline() が本文をHTMLエスケープせず、そのまま返している</x:v>
      </x:c>
      <x:c r="I5" s="47" t="str">
        <x:v>表示欠落／HTML生成</x:v>
      </x:c>
      <x:c r="J5" s="47" t="str">
        <x:v>本文中の &lt; がHTMLタグ開始として解釈され、文字列の一部が公開ページから消える。第37章では『パルス幅&lt;TRT）：』が欠落し、第48章の図説明は『pH』で途切れる。</x:v>
      </x:c>
      <x:c r="K5" s="47" t="str">
        <x:v>build_site.py の inline() と図キャプション処理で、まず &amp;, &lt;, &gt;, " をHTMLエスケープし、その後に許可したMarkdown記法だけをHTMLへ変換する。回帰テストに pH&lt;pKa と パルス幅&lt;TRT を追加する。</x:v>
      </x:c>
      <x:c r="L5" s="47" t="str">
        <x:v>公開DOMの表示文字列が原文と一致することを確認。</x:v>
      </x:c>
      <x:c r="M5" s="47" t="str">
        <x:v>build_site.py:398</x:v>
      </x:c>
      <x:c r="N5" s="28" t="str">
        <x:v>https://yucalyptus.github.io/biyou-cell-textbook/ch37.html</x:v>
      </x:c>
    </x:row>
    <x:row r="6" ht="88" customHeight="1">
      <x:c r="A6" s="90" t="str">
        <x:v>R002</x:v>
      </x:c>
      <x:c r="B6" s="76" t="str">
        <x:v>最優先</x:v>
      </x:c>
      <x:c r="C6" s="48" t="str">
        <x:v>未対応</x:v>
      </x:c>
      <x:c r="D6" s="48" t="str">
        <x:v>章</x:v>
      </x:c>
      <x:c r="E6" s="48" t="str">
        <x:v>第37章</x:v>
      </x:c>
      <x:c r="F6" s="48" t="str">
        <x:v>IPL</x:v>
      </x:c>
      <x:c r="G6" s="48" t="str">
        <x:v>Evidence meter（本文78行）</x:v>
      </x:c>
      <x:c r="H6" s="48" t="str">
        <x:v>選択的光熱融解の原理（波長選択・パルス幅&lt;TRT）：確立した生物物理学</x:v>
      </x:c>
      <x:c r="I6" s="48" t="str">
        <x:v>本文の欠落</x:v>
      </x:c>
      <x:c r="J6" s="48" t="str">
        <x:v>公開表示では『パルス幅』の後から『確立した生物物理学』までがつながり、&lt;TRT）：が消えている。意味が変わる。</x:v>
      </x:c>
      <x:c r="K6" s="48" t="str">
        <x:v>生成側のHTMLエスケープを直す。応急処置なら半角 &lt; を全角 ＜ または『TRTより短い』へ書き換える。</x:v>
      </x:c>
      <x:c r="L6" s="48" t="str">
        <x:v>公開ページのEvidence meterを目視し、TRTと区切り記号が表示されること。</x:v>
      </x:c>
      <x:c r="M6" s="48" t="str">
        <x:v>本文/第37章_IPL.md:78</x:v>
      </x:c>
      <x:c r="N6" s="30" t="str">
        <x:v>https://yucalyptus.github.io/biyou-cell-textbook/ch37.html</x:v>
      </x:c>
    </x:row>
    <x:row r="7" ht="88" customHeight="1">
      <x:c r="A7" s="90" t="str">
        <x:v>R003</x:v>
      </x:c>
      <x:c r="B7" s="76" t="str">
        <x:v>最優先</x:v>
      </x:c>
      <x:c r="C7" s="48" t="str">
        <x:v>未対応</x:v>
      </x:c>
      <x:c r="D7" s="48" t="str">
        <x:v>章</x:v>
      </x:c>
      <x:c r="E7" s="48" t="str">
        <x:v>第48章</x:v>
      </x:c>
      <x:c r="F7" s="48" t="str">
        <x:v>ケミカルピーリングの生化学</x:v>
      </x:c>
      <x:c r="G7" s="48" t="str">
        <x:v>§1 最初の図（本文20行）</x:v>
      </x:c>
      <x:c r="H7" s="48" t="str">
        <x:v>pH&lt;pKa で非解離形が増えて浸透性が高まる</x:v>
      </x:c>
      <x:c r="I7" s="48" t="str">
        <x:v>図説明の欠落</x:v>
      </x:c>
      <x:c r="J7" s="48" t="str">
        <x:v>公開ページの2枚目の図キャプションが『…式。pH』で途切れ、その後の説明が読めない。alt属性も同じ長文を使っているため影響が重なる。</x:v>
      </x:c>
      <x:c r="K7" s="48" t="str">
        <x:v>図キャプションをHTMLエスケープし、caption用HTMLとalt用プレーンテキストを別々に生成する。</x:v>
      </x:c>
      <x:c r="L7" s="48" t="str">
        <x:v>図キャプション全文が表示され、画像のalt属性も壊れていないこと。</x:v>
      </x:c>
      <x:c r="M7" s="48" t="str">
        <x:v>本文/第48章_ケミカルピーリングの生化学.md:20</x:v>
      </x:c>
      <x:c r="N7" s="30" t="str">
        <x:v>https://yucalyptus.github.io/biyou-cell-textbook/ch48.html</x:v>
      </x:c>
    </x:row>
    <x:row r="8" ht="88" customHeight="1">
      <x:c r="A8" s="90" t="str">
        <x:v>R004</x:v>
      </x:c>
      <x:c r="B8" s="55" t="str">
        <x:v>高</x:v>
      </x:c>
      <x:c r="C8" s="48" t="str">
        <x:v>未対応</x:v>
      </x:c>
      <x:c r="D8" s="48" t="str">
        <x:v>公開全体</x:v>
      </x:c>
      <x:c r="E8" s="48" t="str">
        <x:v>全体</x:v>
      </x:c>
      <x:c r="F8" s="48" t="str">
        <x:v>参考文献表示</x:v>
      </x:c>
      <x:c r="G8" s="48" t="str">
        <x:v>参考文献（31ページ・196箇所）</x:v>
      </x:c>
      <x:c r="H8" s="48" t="str">
        <x:v>Topical tretinoin for photoaged skin. *J Am Acad Dermatol.* 1986;...</x:v>
      </x:c>
      <x:c r="I8" s="48" t="str">
        <x:v>Markdown記法の露出</x:v>
      </x:c>
      <x:c r="J8" s="48" t="str">
        <x:v>一重アスタリスクの斜体記法を変換していないため、参考文献の誌名が *...* のまま読者に見える。</x:v>
      </x:c>
      <x:c r="K8" s="48" t="str">
        <x:v>inline() に一重アスタリスクの em 変換を追加するか、原稿側で誌名の斜体記法を使わない方針に統一する。**太字**を先に処理し、残った単独 *...* だけを変換する。</x:v>
      </x:c>
      <x:c r="L8" s="48" t="str">
        <x:v>公開HTML本文内の単独 *...* が0件になること。</x:v>
      </x:c>
      <x:c r="M8" s="48" t="str">
        <x:v>build_site.py:398-403 / 本文/第29章_レチノイド外用の生化学.md:117</x:v>
      </x:c>
      <x:c r="N8" s="30" t="str">
        <x:v>https://yucalyptus.github.io/biyou-cell-textbook/ch29.html</x:v>
      </x:c>
    </x:row>
    <x:row r="9" ht="88" customHeight="1">
      <x:c r="A9" s="90" t="str">
        <x:v>R005</x:v>
      </x:c>
      <x:c r="B9" s="55" t="str">
        <x:v>高</x:v>
      </x:c>
      <x:c r="C9" s="48" t="str">
        <x:v>未対応</x:v>
      </x:c>
      <x:c r="D9" s="48" t="str">
        <x:v>公開全体</x:v>
      </x:c>
      <x:c r="E9" s="48" t="str">
        <x:v>全体</x:v>
      </x:c>
      <x:c r="F9" s="48" t="str">
        <x:v>図説明</x:v>
      </x:c>
      <x:c r="G9" s="48" t="str">
        <x:v>図キャプション（12ページ・70箇所）</x:v>
      </x:c>
      <x:c r="H9" s="48" t="str">
        <x:v>図説明中の **共通のNAD⁺プール** など</x:v>
      </x:c>
      <x:c r="I9" s="48" t="str">
        <x:v>Markdown記法の露出</x:v>
      </x:c>
      <x:c r="J9" s="48" t="str">
        <x:v>図の説明文は inline() を通らず、**強調**が記号のまま表示される。altにも同じ記号が入る。</x:v>
      </x:c>
      <x:c r="K9" s="48" t="str">
        <x:v>figcaptionは安全にエスケープした後 inline() 相当で装飾し、altはMarkdown記号を除いたプレーンテキストにする。</x:v>
      </x:c>
      <x:c r="L9" s="48" t="str">
        <x:v>公開HTML本文内の **...** が0件になり、alt属性にアスタリスクが残らないこと。</x:v>
      </x:c>
      <x:c r="M9" s="48" t="str">
        <x:v>build_site.py:531-536</x:v>
      </x:c>
      <x:c r="N9" s="30" t="str">
        <x:v>https://yucalyptus.github.io/biyou-cell-textbook/ch25.html</x:v>
      </x:c>
    </x:row>
    <x:row r="10" ht="88" customHeight="1">
      <x:c r="A10" s="90" t="str">
        <x:v>R006</x:v>
      </x:c>
      <x:c r="B10" s="55" t="str">
        <x:v>高</x:v>
      </x:c>
      <x:c r="C10" s="48" t="str">
        <x:v>未対応</x:v>
      </x:c>
      <x:c r="D10" s="48" t="str">
        <x:v>複数章</x:v>
      </x:c>
      <x:c r="E10" s="48" t="str">
        <x:v>第37〜39章</x:v>
      </x:c>
      <x:c r="F10" s="48" t="str">
        <x:v>光デバイス3部作</x:v>
      </x:c>
      <x:c r="G10" s="48" t="str">
        <x:v>各章冒頭</x:v>
      </x:c>
      <x:c r="H10" s="48" t="str">
        <x:v>3部作の第1章／第2章／第3章</x:v>
      </x:c>
      <x:c r="I10" s="48" t="str">
        <x:v>誤リンク</x:v>
      </x:c>
      <x:c r="J10" s="48" t="str">
        <x:v>自動章リンクが『3部作内の順番』も教材全体の第1〜3章と解釈し、第37章から第1章、第38章から第2章、第39章から第3章へ誤リンクする。</x:v>
      </x:c>
      <x:c r="K10" s="48" t="str">
        <x:v>原文を『第1回／第2回／第3回』に変更する。あわせて章リンク自動化は、明示記法または既知の前後文脈だけをリンクする方式を検討する。</x:v>
      </x:c>
      <x:c r="L10" s="48" t="str">
        <x:v>3ページ冒頭のリンク先が意図どおりか確認。</x:v>
      </x:c>
      <x:c r="M10" s="48" t="str">
        <x:v>本文/第37章_IPL.md:3 / 第38章:3 / 第39章:5</x:v>
      </x:c>
      <x:c r="N10" s="30" t="str">
        <x:v>https://yucalyptus.github.io/biyou-cell-textbook/ch37.html</x:v>
      </x:c>
    </x:row>
    <x:row r="11" ht="88" customHeight="1">
      <x:c r="A11" s="90" t="str">
        <x:v>R007</x:v>
      </x:c>
      <x:c r="B11" s="55" t="str">
        <x:v>高</x:v>
      </x:c>
      <x:c r="C11" s="48" t="str">
        <x:v>未対応</x:v>
      </x:c>
      <x:c r="D11" s="48" t="str">
        <x:v>章</x:v>
      </x:c>
      <x:c r="E11" s="48" t="str">
        <x:v>第38章</x:v>
      </x:c>
      <x:c r="F11" s="48" t="str">
        <x:v>Qスイッチ・ピコ秒レーザー</x:v>
      </x:c>
      <x:c r="G11" s="48" t="str">
        <x:v>節見出し（本文36〜64行）</x:v>
      </x:c>
      <x:c r="H11" s="48" t="str">
        <x:v>## 2　光機械的破砕の物理／## 2　破砕後のクリアランス</x:v>
      </x:c>
      <x:c r="I11" s="48" t="str">
        <x:v>節番号の重複</x:v>
      </x:c>
      <x:c r="J11" s="48" t="str">
        <x:v>§2が2回あり、その後が§3・§4のまま。参照時に『第38章§2』が一意にならない。</x:v>
      </x:c>
      <x:c r="K11" s="48" t="str">
        <x:v>後半を§3・§4・§5へ繰り下げ、本文内の節参照・図・目次があれば同時に更新する。</x:v>
      </x:c>
      <x:c r="L11" s="48" t="str">
        <x:v>見出し番号が1→2→3→4→5になること。</x:v>
      </x:c>
      <x:c r="M11" s="48" t="str">
        <x:v>本文/第38章_色素レーザー.md:36,50,57,64</x:v>
      </x:c>
      <x:c r="N11" s="30" t="str">
        <x:v>https://yucalyptus.github.io/biyou-cell-textbook/ch38.html</x:v>
      </x:c>
    </x:row>
    <x:row r="12" ht="88" customHeight="1">
      <x:c r="A12" s="90" t="str">
        <x:v>R008</x:v>
      </x:c>
      <x:c r="B12" s="55" t="str">
        <x:v>高</x:v>
      </x:c>
      <x:c r="C12" s="48" t="str">
        <x:v>未対応</x:v>
      </x:c>
      <x:c r="D12" s="48" t="str">
        <x:v>公開全体</x:v>
      </x:c>
      <x:c r="E12" s="48" t="str">
        <x:v>全体</x:v>
      </x:c>
      <x:c r="F12" s="48" t="str">
        <x:v>文献・内容照合</x:v>
      </x:c>
      <x:c r="G12" s="48" t="str">
        <x:v>20章・56箇所</x:v>
      </x:c>
      <x:c r="H12" s="48" t="str">
        <x:v>本文に『要確認』が56箇所残っている</x:v>
      </x:c>
      <x:c r="I12" s="48" t="str">
        <x:v>公開前の校正残</x:v>
      </x:c>
      <x:c r="J12" s="48" t="str">
        <x:v>安全性・妊娠・規制・適応・数値・書誌を含む未照合事項が公開版に残る。留保として有用な箇所と、単なる作業メモが混在している。</x:v>
      </x:c>
      <x:c r="K12" s="48" t="str">
        <x:v>『要確認一覧』シートの順に一次情報を照合する。未確立であること自体が重要な箇所は『未確立／条件依存』へ書き換え、編集作業の『要確認』は公開版から除く。</x:v>
      </x:c>
      <x:c r="L12" s="48" t="str">
        <x:v>公開版の『要確認』を0件にするか、読者向けの根拠ラベルとして意図的に残した箇所だけに限定する。</x:v>
      </x:c>
      <x:c r="M12" s="48" t="str">
        <x:v>本文/*.md</x:v>
      </x:c>
      <x:c r="N12" s="30" t="str">
        <x:v>https://yucalyptus.github.io/biyou-cell-textbook/</x:v>
      </x:c>
    </x:row>
    <x:row r="13" ht="88" customHeight="1">
      <x:c r="A13" s="90" t="str">
        <x:v>R009</x:v>
      </x:c>
      <x:c r="B13" s="55" t="str">
        <x:v>高</x:v>
      </x:c>
      <x:c r="C13" s="48" t="str">
        <x:v>未対応</x:v>
      </x:c>
      <x:c r="D13" s="48" t="str">
        <x:v>章</x:v>
      </x:c>
      <x:c r="E13" s="48" t="str">
        <x:v>第22章</x:v>
      </x:c>
      <x:c r="F13" s="48" t="str">
        <x:v>血管と内皮</x:v>
      </x:c>
      <x:c r="G13" s="48" t="str">
        <x:v>中核参考文献（本文113行）</x:v>
      </x:c>
      <x:c r="H13" s="48" t="str">
        <x:v>Roh YS, Choi J, et al./Steinhoff M, et al. Neurovascular aspects of skin...</x:v>
      </x:c>
      <x:c r="I13" s="48" t="str">
        <x:v>不完全な参考文献</x:v>
      </x:c>
      <x:c r="J13" s="48" t="str">
        <x:v>2つの候補文献がスラッシュで連結されたままで、著者・題名・誌名・年を特定できない。読者が根拠を追えない。</x:v>
      </x:c>
      <x:c r="K13" s="48" t="str">
        <x:v>採用する文献を1本以上に分け、完全な書誌情報とPMID/DOIを記載する。特定できない場合はこの行を削除し、本文の根拠範囲を狭める。</x:v>
      </x:c>
      <x:c r="L13" s="48" t="str">
        <x:v>PubMedまたは出版社ページで書誌が一致すること。</x:v>
      </x:c>
      <x:c r="M13" s="48" t="str">
        <x:v>本文/第22章_血管と内皮.md:113</x:v>
      </x:c>
      <x:c r="N13" s="30" t="str">
        <x:v>https://yucalyptus.github.io/biyou-cell-textbook/ch22.html</x:v>
      </x:c>
    </x:row>
    <x:row r="14" ht="88" customHeight="1">
      <x:c r="A14" s="90" t="str">
        <x:v>R010</x:v>
      </x:c>
      <x:c r="B14" s="55" t="str">
        <x:v>高</x:v>
      </x:c>
      <x:c r="C14" s="48" t="str">
        <x:v>未対応</x:v>
      </x:c>
      <x:c r="D14" s="48" t="str">
        <x:v>章</x:v>
      </x:c>
      <x:c r="E14" s="48" t="str">
        <x:v>第28章</x:v>
      </x:c>
      <x:c r="F14" s="48" t="str">
        <x:v>ヒアルロン酸フィラー</x:v>
      </x:c>
      <x:c r="G14" s="48" t="str">
        <x:v>§4 血管塞栓（本文72行）</x:v>
      </x:c>
      <x:c r="H14" s="48" t="str">
        <x:v>血管塞栓、網膜動脈閉塞→失明、高用量hyaluronidase...（DeLorenzi 2014、要確認）</x:v>
      </x:c>
      <x:c r="I14" s="48" t="str">
        <x:v>安全性の未照合</x:v>
      </x:c>
      <x:c r="J14" s="48" t="str">
        <x:v>重大合併症と緊急対応に関する記述が『要確認』のまま。教育目的でも優先して確定すべき内容。</x:v>
      </x:c>
      <x:c r="K14" s="48" t="str">
        <x:v>最新ガイドライン・コンセンサス・一次情報で、機序、限界、対応の一般原則を照合する。用量手技を扱わない方針は維持し、地域差と更新日を明記する。</x:v>
      </x:c>
      <x:c r="L14" s="48" t="str">
        <x:v>最新の一次情報・専門学会文書と整合すること。</x:v>
      </x:c>
      <x:c r="M14" s="48" t="str">
        <x:v>本文/第28章_ヒアルロン酸フィラーの生化学.md:72</x:v>
      </x:c>
      <x:c r="N14" s="30" t="str">
        <x:v>https://yucalyptus.github.io/biyou-cell-textbook/ch28.html</x:v>
      </x:c>
    </x:row>
    <x:row r="15" ht="88" customHeight="1">
      <x:c r="A15" s="90" t="str">
        <x:v>R011</x:v>
      </x:c>
      <x:c r="B15" s="55" t="str">
        <x:v>高</x:v>
      </x:c>
      <x:c r="C15" s="48" t="str">
        <x:v>未対応</x:v>
      </x:c>
      <x:c r="D15" s="48" t="str">
        <x:v>章</x:v>
      </x:c>
      <x:c r="E15" s="48" t="str">
        <x:v>第29章</x:v>
      </x:c>
      <x:c r="F15" s="48" t="str">
        <x:v>レチノイド外用</x:v>
      </x:c>
      <x:c r="G15" s="48" t="str">
        <x:v>§5 妊娠（本文91・113行）</x:v>
      </x:c>
      <x:c r="H15" s="48" t="str">
        <x:v>妊娠中・妊娠を計画している場合は外用も予防的に避ける...（要確認）</x:v>
      </x:c>
      <x:c r="I15" s="48" t="str">
        <x:v>妊娠・安全性</x:v>
      </x:c>
      <x:c r="J15" s="48" t="str">
        <x:v>妊娠関連は高ステークスで、一般的運用と製剤の公的記載を分けて示す必要がある。</x:v>
      </x:c>
      <x:c r="K15" s="48" t="str">
        <x:v>最新の添付文書・規制当局・診療ガイドラインを照合し、『経口』『外用』『製剤別』『妊娠中／計画中』を分け、確認日を付ける。</x:v>
      </x:c>
      <x:c r="L15" s="48" t="str">
        <x:v>公的文書と表現が一致すること。</x:v>
      </x:c>
      <x:c r="M15" s="48" t="str">
        <x:v>本文/第29章_レチノイド外用の生化学.md:91,113</x:v>
      </x:c>
      <x:c r="N15" s="30" t="str">
        <x:v>https://yucalyptus.github.io/biyou-cell-textbook/ch29.html</x:v>
      </x:c>
    </x:row>
    <x:row r="16" ht="88" customHeight="1">
      <x:c r="A16" s="90" t="str">
        <x:v>R012</x:v>
      </x:c>
      <x:c r="B16" s="55" t="str">
        <x:v>高</x:v>
      </x:c>
      <x:c r="C16" s="48" t="str">
        <x:v>未対応</x:v>
      </x:c>
      <x:c r="D16" s="48" t="str">
        <x:v>章</x:v>
      </x:c>
      <x:c r="E16" s="48" t="str">
        <x:v>第34章</x:v>
      </x:c>
      <x:c r="F16" s="48" t="str">
        <x:v>ニードルRF</x:v>
      </x:c>
      <x:c r="G16" s="48" t="str">
        <x:v>§6 肝斑（本文104行）</x:v>
      </x:c>
      <x:c r="H16" s="48" t="str">
        <x:v>日本ではMNRF機器の『肝斑』適応は基本オフラベル...（要確認）</x:v>
      </x:c>
      <x:c r="I16" s="48" t="str">
        <x:v>規制・適応</x:v>
      </x:c>
      <x:c r="J16" s="48" t="str">
        <x:v>国・機器・時点で変わる規制情報を一般化している。公開時点の確認が必要。</x:v>
      </x:c>
      <x:c r="K16" s="48" t="str">
        <x:v>機器ごとの承認範囲を公的文書で確認し、『日本・確認日現在・一般論』の範囲を明記する。個別機器の断定を避ける。</x:v>
      </x:c>
      <x:c r="L16" s="48" t="str">
        <x:v>公的な承認情報・添付文書で確認。</x:v>
      </x:c>
      <x:c r="M16" s="48" t="str">
        <x:v>本文/第34章_ニードルRFの生化学.md:104</x:v>
      </x:c>
      <x:c r="N16" s="30" t="str">
        <x:v>https://yucalyptus.github.io/biyou-cell-textbook/ch34.html</x:v>
      </x:c>
    </x:row>
    <x:row r="17" ht="88" customHeight="1">
      <x:c r="A17" s="90" t="str">
        <x:v>R013</x:v>
      </x:c>
      <x:c r="B17" s="55" t="str">
        <x:v>高</x:v>
      </x:c>
      <x:c r="C17" s="48" t="str">
        <x:v>未対応</x:v>
      </x:c>
      <x:c r="D17" s="48" t="str">
        <x:v>章</x:v>
      </x:c>
      <x:c r="E17" s="48" t="str">
        <x:v>第45章</x:v>
      </x:c>
      <x:c r="F17" s="48" t="str">
        <x:v>バイオスティミュレーター</x:v>
      </x:c>
      <x:c r="G17" s="48" t="str">
        <x:v>中核参考文献（本文98〜100行）</x:v>
      </x:c>
      <x:c r="H17" s="48" t="str">
        <x:v>総説・組織学研究が複数（要確認）／in vitro・動物での報告（要確認）／薬理総説（要確認）</x:v>
      </x:c>
      <x:c r="I17" s="48" t="str">
        <x:v>根拠未特定</x:v>
      </x:c>
      <x:c r="J17" s="48" t="str">
        <x:v>CaHA、PLLA/PDLLA、PN/PDRNの主要機序を支える文献が特定されていないため、章の中心主張を追跡できない。</x:v>
      </x:c>
      <x:c r="K17" s="48" t="str">
        <x:v>各素材ごとに代表一次文献を最低1本ずつ確定し、ヒト・動物・in vitroを区別する。特定できない機序は本文の確度を下げる。</x:v>
      </x:c>
      <x:c r="L17" s="48" t="str">
        <x:v>各主要主張から対応する書誌へ1対1で追えること。</x:v>
      </x:c>
      <x:c r="M17" s="48" t="str">
        <x:v>本文/第45章_バイオスティミュレーター.md:98-100</x:v>
      </x:c>
      <x:c r="N17" s="30" t="str">
        <x:v>https://yucalyptus.github.io/biyou-cell-textbook/ch45.html</x:v>
      </x:c>
    </x:row>
    <x:row r="18" ht="88" customHeight="1">
      <x:c r="A18" s="90" t="str">
        <x:v>R014</x:v>
      </x:c>
      <x:c r="B18" s="55" t="str">
        <x:v>高</x:v>
      </x:c>
      <x:c r="C18" s="48" t="str">
        <x:v>未対応</x:v>
      </x:c>
      <x:c r="D18" s="48" t="str">
        <x:v>章</x:v>
      </x:c>
      <x:c r="E18" s="48" t="str">
        <x:v>第51章</x:v>
      </x:c>
      <x:c r="F18" s="48" t="str">
        <x:v>脂肪を減らす治療</x:v>
      </x:c>
      <x:c r="G18" s="48" t="str">
        <x:v>§2・参考文献（本文46・162行）</x:v>
      </x:c>
      <x:c r="H18" s="48" t="str">
        <x:v>PCDCの承認経緯・品質のばらつき（要確認）／辺縁下顎神経障害...特定の1本を確定せず要確認</x:v>
      </x:c>
      <x:c r="I18" s="48" t="str">
        <x:v>規制・合併症</x:v>
      </x:c>
      <x:c r="J18" s="48" t="str">
        <x:v>製剤規制と重大な個別合併症の出典が未確定。地域差を伴うため、現在性も必要。</x:v>
      </x:c>
      <x:c r="K18" s="48" t="str">
        <x:v>PCDCとATX-101を製剤・地域・承認状況で分け、公的文書と代表的安全性文献を確定する。</x:v>
      </x:c>
      <x:c r="L18" s="48" t="str">
        <x:v>規制当局文書・添付文書・一次文献で確認。</x:v>
      </x:c>
      <x:c r="M18" s="48" t="str">
        <x:v>本文/第51章_脂肪を減らす治療.md:46,162</x:v>
      </x:c>
      <x:c r="N18" s="30" t="str">
        <x:v>https://yucalyptus.github.io/biyou-cell-textbook/ch51.html</x:v>
      </x:c>
    </x:row>
    <x:row r="19" ht="88" customHeight="1">
      <x:c r="A19" s="90" t="str">
        <x:v>R015</x:v>
      </x:c>
      <x:c r="B19" s="55" t="str">
        <x:v>高</x:v>
      </x:c>
      <x:c r="C19" s="48" t="str">
        <x:v>未対応</x:v>
      </x:c>
      <x:c r="D19" s="48" t="str">
        <x:v>章</x:v>
      </x:c>
      <x:c r="E19" s="48" t="str">
        <x:v>第53章</x:v>
      </x:c>
      <x:c r="F19" s="48" t="str">
        <x:v>ボツリヌストキシン</x:v>
      </x:c>
      <x:c r="G19" s="48" t="str">
        <x:v>§2〜5・参考文献</x:v>
      </x:c>
      <x:c r="H19" s="48" t="str">
        <x:v>製剤間の総タンパク量・中和抗体発生率・美容低用量域の頻度...要確認</x:v>
      </x:c>
      <x:c r="I19" s="48" t="str">
        <x:v>製剤比較・免疫原性</x:v>
      </x:c>
      <x:c r="J19" s="48" t="str">
        <x:v>製剤間比較は誤解や広告的解釈につながりやすい。定量値・頻度・因果を分ける必要がある。</x:v>
      </x:c>
      <x:c r="K19" s="48" t="str">
        <x:v>製剤別一次情報と独立レビューを照合し、『生物学的単位』『総タンパク量』『臨床的二次無効』を別の表に整理する。頻度を出せない場合は定性的に留める。</x:v>
      </x:c>
      <x:c r="L19" s="48" t="str">
        <x:v>製剤ラベル・独立文献・用途別データで確認。</x:v>
      </x:c>
      <x:c r="M19" s="48" t="str">
        <x:v>本文/第53章_ボツリヌストキシンの生化学.md:46-113</x:v>
      </x:c>
      <x:c r="N19" s="30" t="str">
        <x:v>https://yucalyptus.github.io/biyou-cell-textbook/ch53.html</x:v>
      </x:c>
    </x:row>
    <x:row r="20" ht="88" customHeight="1">
      <x:c r="A20" s="90" t="str">
        <x:v>R016</x:v>
      </x:c>
      <x:c r="B20" s="55" t="str">
        <x:v>高</x:v>
      </x:c>
      <x:c r="C20" s="48" t="str">
        <x:v>未対応</x:v>
      </x:c>
      <x:c r="D20" s="48" t="str">
        <x:v>章</x:v>
      </x:c>
      <x:c r="E20" s="48" t="str">
        <x:v>第54章</x:v>
      </x:c>
      <x:c r="F20" s="48" t="str">
        <x:v>NAD⁺前駆体</x:v>
      </x:c>
      <x:c r="G20" s="48" t="str">
        <x:v>章末（本文166行）</x:v>
      </x:c>
      <x:c r="H20" s="48" t="str">
        <x:v>FDAによる2025年のNMN判断撤回...（→ `図解/校正TODO.md`）</x:v>
      </x:c>
      <x:c r="I20" s="48" t="str">
        <x:v>規制情報・編集メモ露出</x:v>
      </x:c>
      <x:c r="J20" s="48" t="str">
        <x:v>変わり得る規制情報が未照合で、さらに読者には存在しない内部ファイルパスが公開ページに表示される。</x:v>
      </x:c>
      <x:c r="K20" s="48" t="str">
        <x:v>FDAの一次文書を確認して日付と文書名を明記する。内部パスは削除し、『未照合のため書誌を保留』など読者向けの表現に変更する。</x:v>
      </x:c>
      <x:c r="L20" s="48" t="str">
        <x:v>公開ページに内部パスがなく、規制記述に一次ソースと確認日があること。</x:v>
      </x:c>
      <x:c r="M20" s="48" t="str">
        <x:v>本文/第54章_NAD前駆体.md:166</x:v>
      </x:c>
      <x:c r="N20" s="30" t="str">
        <x:v>https://yucalyptus.github.io/biyou-cell-textbook/ch54.html</x:v>
      </x:c>
    </x:row>
    <x:row r="21" ht="88" customHeight="1">
      <x:c r="A21" s="90" t="str">
        <x:v>R017</x:v>
      </x:c>
      <x:c r="B21" s="58" t="str">
        <x:v>中</x:v>
      </x:c>
      <x:c r="C21" s="48" t="str">
        <x:v>未対応</x:v>
      </x:c>
      <x:c r="D21" s="48" t="str">
        <x:v>公開全体</x:v>
      </x:c>
      <x:c r="E21" s="48" t="str">
        <x:v>全体</x:v>
      </x:c>
      <x:c r="F21" s="48" t="str">
        <x:v>参考文献導線</x:v>
      </x:c>
      <x:c r="G21" s="48" t="str">
        <x:v>参考文献全般</x:v>
      </x:c>
      <x:c r="H21" s="48" t="str">
        <x:v>PMID: 3771853 / DOI: 10.1056/...（プレーンテキスト）</x:v>
      </x:c>
      <x:c r="I21" s="48" t="str">
        <x:v>検証導線</x:v>
      </x:c>
      <x:c r="J21" s="48" t="str">
        <x:v>公開HTMLに外部リンクが0件で、PMID・DOIから一次情報へ直接移動できない。教材の『根拠を追える』価値を下げる。</x:v>
      </x:c>
      <x:c r="K21" s="48" t="str">
        <x:v>PMIDをPubMed、DOIをdoi.orgへ自動リンクする。外部リンクであることが分かる見た目と、必要なら新規タブ方針を統一する。</x:v>
      </x:c>
      <x:c r="L21" s="48" t="str">
        <x:v>代表章でPMID/DOIリンク先が正しいことをサンプル確認。</x:v>
      </x:c>
      <x:c r="M21" s="48" t="str">
        <x:v>build_site.py:inline() または文献専用レンダラ</x:v>
      </x:c>
      <x:c r="N21" s="30" t="str">
        <x:v>https://yucalyptus.github.io/biyou-cell-textbook/ch29.html</x:v>
      </x:c>
    </x:row>
    <x:row r="22" ht="88" customHeight="1">
      <x:c r="A22" s="90" t="str">
        <x:v>R018</x:v>
      </x:c>
      <x:c r="B22" s="58" t="str">
        <x:v>中</x:v>
      </x:c>
      <x:c r="C22" s="48" t="str">
        <x:v>未対応</x:v>
      </x:c>
      <x:c r="D22" s="48" t="str">
        <x:v>公開全体</x:v>
      </x:c>
      <x:c r="E22" s="48" t="str">
        <x:v>全体</x:v>
      </x:c>
      <x:c r="F22" s="48" t="str">
        <x:v>根拠表示の統一</x:v>
      </x:c>
      <x:c r="G22" s="48" t="str">
        <x:v>56章の章末</x:v>
      </x:c>
      <x:c r="H22" s="48" t="str">
        <x:v>Evidence meter と参考文献がある章は各29章</x:v>
      </x:c>
      <x:c r="I22" s="48" t="str">
        <x:v>編集方針の不統一</x:v>
      </x:c>
      <x:c r="J22" s="48" t="str">
        <x:v>基礎章では根拠表示が省略され、後半章では詳細に付く。意図は理解できるが、読者には『なぜこの章にはないのか』が分からない。</x:v>
      </x:c>
      <x:c r="K22" s="48" t="str">
        <x:v>全章に同じ形式を強制するか、基礎章は『標準教科書レベルの基礎事項。文献は部末に集約』と明記し、部単位の参考文献ページを設ける。</x:v>
      </x:c>
      <x:c r="L22" s="48" t="str">
        <x:v>読者が各章の根拠レベルと出典の置き場所を一貫して理解できること。</x:v>
      </x:c>
      <x:c r="M22" s="48" t="str">
        <x:v>本文/*.md / build_site.py</x:v>
      </x:c>
      <x:c r="N22" s="30" t="str">
        <x:v>https://yucalyptus.github.io/biyou-cell-textbook/</x:v>
      </x:c>
    </x:row>
    <x:row r="23" ht="88" customHeight="1">
      <x:c r="A23" s="90" t="str">
        <x:v>R019</x:v>
      </x:c>
      <x:c r="B23" s="58" t="str">
        <x:v>中</x:v>
      </x:c>
      <x:c r="C23" s="48" t="str">
        <x:v>未対応</x:v>
      </x:c>
      <x:c r="D23" s="48" t="str">
        <x:v>公開全体</x:v>
      </x:c>
      <x:c r="E23" s="48" t="str">
        <x:v>全体</x:v>
      </x:c>
      <x:c r="F23" s="48" t="str">
        <x:v>版・更新日</x:v>
      </x:c>
      <x:c r="G23" s="48" t="str">
        <x:v>各ページ上部または下部</x:v>
      </x:c>
      <x:c r="H23" s="48" t="str">
        <x:v>© 2026 はあるが、最終更新日・版番号・照合日がない</x:v>
      </x:c>
      <x:c r="I23" s="48" t="str">
        <x:v>更新管理</x:v>
      </x:c>
      <x:c r="J23" s="48" t="str">
        <x:v>医療・規制・製品情報を含む教材なので、読者が情報の鮮度を判断できない。</x:v>
      </x:c>
      <x:c r="K23" s="48" t="str">
        <x:v>サイト全体の版番号と最終更新日を表示し、規制・安全性の章には『情報確認日』を追加する。更新履歴ページも検討する。</x:v>
      </x:c>
      <x:c r="L23" s="48" t="str">
        <x:v>各ページから版と更新日が確認できること。</x:v>
      </x:c>
      <x:c r="M23" s="48" t="str">
        <x:v>build_site.py:DISC / PAGE_HEAD</x:v>
      </x:c>
      <x:c r="N23" s="30" t="str">
        <x:v>https://yucalyptus.github.io/biyou-cell-textbook/</x:v>
      </x:c>
    </x:row>
    <x:row r="24" ht="88" customHeight="1">
      <x:c r="A24" s="90" t="str">
        <x:v>R020</x:v>
      </x:c>
      <x:c r="B24" s="58" t="str">
        <x:v>中</x:v>
      </x:c>
      <x:c r="C24" s="48" t="str">
        <x:v>未対応</x:v>
      </x:c>
      <x:c r="D24" s="48" t="str">
        <x:v>公開全体</x:v>
      </x:c>
      <x:c r="E24" s="48" t="str">
        <x:v>全体</x:v>
      </x:c>
      <x:c r="F24" s="48" t="str">
        <x:v>検索・共有メタデータ</x:v>
      </x:c>
      <x:c r="G24" s="48" t="str">
        <x:v>head / 配信ファイル</x:v>
      </x:c>
      <x:c r="H24" s="48" t="str">
        <x:v>meta description、canonical、OGP、sitemap.xml がない</x:v>
      </x:c>
      <x:c r="I24" s="48" t="str">
        <x:v>SEO・共有</x:v>
      </x:c>
      <x:c r="J24" s="48" t="str">
        <x:v>検索結果の説明文、正規URL、SNS共有時のタイトル・画像、検索エンジンへの全ページ案内が不足する。</x:v>
      </x:c>
      <x:c r="K24" s="48" t="str">
        <x:v>章ごとのdescription、canonical、og:title/description/image、必要ならtwitter cardを生成し、sitemap.xmlを出力する。</x:v>
      </x:c>
      <x:c r="L24" s="48" t="str">
        <x:v>生成HTMLのheadとsitemapを確認し、共有プレビューを試す。</x:v>
      </x:c>
      <x:c r="M24" s="48" t="str">
        <x:v>build_site.py:32-37 / docs/</x:v>
      </x:c>
      <x:c r="N24" s="30" t="str">
        <x:v>https://yucalyptus.github.io/biyou-cell-textbook/</x:v>
      </x:c>
    </x:row>
    <x:row r="25" ht="88" customHeight="1">
      <x:c r="A25" s="90" t="str">
        <x:v>R021</x:v>
      </x:c>
      <x:c r="B25" s="58" t="str">
        <x:v>中</x:v>
      </x:c>
      <x:c r="C25" s="48" t="str">
        <x:v>未対応</x:v>
      </x:c>
      <x:c r="D25" s="48" t="str">
        <x:v>公開全体</x:v>
      </x:c>
      <x:c r="E25" s="48" t="str">
        <x:v>全体</x:v>
      </x:c>
      <x:c r="F25" s="48" t="str">
        <x:v>モバイル目次</x:v>
      </x:c>
      <x:c r="G25" s="48" t="str">
        <x:v>目次ボタン</x:v>
      </x:c>
      <x:c r="H25" s="48" t="str">
        <x:v>&lt;button class="menubtn" onclick="toggleMenu()"&gt;目次&lt;/button&gt;</x:v>
      </x:c>
      <x:c r="I25" s="48" t="str">
        <x:v>アクセシビリティ</x:v>
      </x:c>
      <x:c r="J25" s="48" t="str">
        <x:v>aria-controls/aria-expandedがなく、開閉状態が支援技術に伝わらない。Escで閉じる、背景クリック、フォーカス管理もない。</x:v>
      </x:c>
      <x:c r="K25" s="48" t="str">
        <x:v>buttonにaria-controlsとaria-expandedを付け、開閉時に更新する。Esc・背景クリック・フォーカス移動/復帰を実装する。</x:v>
      </x:c>
      <x:c r="L25" s="48" t="str">
        <x:v>キーボードだけで開閉・章選択・復帰ができること。</x:v>
      </x:c>
      <x:c r="M25" s="48" t="str">
        <x:v>build_site.py:メニューボタンと末尾script</x:v>
      </x:c>
      <x:c r="N25" s="30" t="str">
        <x:v>https://yucalyptus.github.io/biyou-cell-textbook/</x:v>
      </x:c>
    </x:row>
    <x:row r="26" ht="88" customHeight="1">
      <x:c r="A26" s="90" t="str">
        <x:v>R022</x:v>
      </x:c>
      <x:c r="B26" s="58" t="str">
        <x:v>中</x:v>
      </x:c>
      <x:c r="C26" s="48" t="str">
        <x:v>未対応</x:v>
      </x:c>
      <x:c r="D26" s="48" t="str">
        <x:v>公開全体</x:v>
      </x:c>
      <x:c r="E26" s="48" t="str">
        <x:v>全体</x:v>
      </x:c>
      <x:c r="F26" s="48" t="str">
        <x:v>図の拡大</x:v>
      </x:c>
      <x:c r="G26" s="48" t="str">
        <x:v>全326図</x:v>
      </x:c>
      <x:c r="H26" s="48" t="str">
        <x:v>&lt;figure ... onclick="this.classList.toggle('zoom')"&gt;</x:v>
      </x:c>
      <x:c r="I26" s="48" t="str">
        <x:v>アクセシビリティ</x:v>
      </x:c>
      <x:c r="J26" s="48" t="str">
        <x:v>クリック操作だけで、figureはフォーカスできずキーボードで拡大できない。拡大状態も通知されない。</x:v>
      </x:c>
      <x:c r="K26" s="48" t="str">
        <x:v>画像をbuttonまたはlinkで包み、Enter/Space対応、aria-label/expanded、明確なフォーカス表示を付ける。</x:v>
      </x:c>
      <x:c r="L26" s="48" t="str">
        <x:v>キーボード操作とスクリーンリーダーで拡大状態が分かること。</x:v>
      </x:c>
      <x:c r="M26" s="48" t="str">
        <x:v>build_site.py:531-536</x:v>
      </x:c>
      <x:c r="N26" s="30" t="str">
        <x:v>https://yucalyptus.github.io/biyou-cell-textbook/ch29.html</x:v>
      </x:c>
    </x:row>
    <x:row r="27" ht="88" customHeight="1">
      <x:c r="A27" s="90" t="str">
        <x:v>R023</x:v>
      </x:c>
      <x:c r="B27" s="58" t="str">
        <x:v>中</x:v>
      </x:c>
      <x:c r="C27" s="48" t="str">
        <x:v>未対応</x:v>
      </x:c>
      <x:c r="D27" s="48" t="str">
        <x:v>公開全体</x:v>
      </x:c>
      <x:c r="E27" s="48" t="str">
        <x:v>全体</x:v>
      </x:c>
      <x:c r="F27" s="48" t="str">
        <x:v>図の代替テキスト</x:v>
      </x:c>
      <x:c r="G27" s="48" t="str">
        <x:v>全326図</x:v>
      </x:c>
      <x:c r="H27" s="48" t="str">
        <x:v>alt と figcaption に同じ長文を二重出力（平均214字、300字超67図）</x:v>
      </x:c>
      <x:c r="I27" s="48" t="str">
        <x:v>アクセシビリティ・可読性</x:v>
      </x:c>
      <x:c r="J27" s="48" t="str">
        <x:v>スクリーンリーダーで同じ説明を2回読む可能性が高い。詳細説明は有益だが、役割分担がない。</x:v>
      </x:c>
      <x:c r="K27" s="48" t="str">
        <x:v>altは短い要約にし、詳細はfigcaptionへ置く。captionが完全に代替する図はalt=""も検討し、figure/figcaptionの関連を保つ。</x:v>
      </x:c>
      <x:c r="L27" s="48" t="str">
        <x:v>代表図を支援技術で読み、重複がないこと。</x:v>
      </x:c>
      <x:c r="M27" s="48" t="str">
        <x:v>build_site.py:512-536</x:v>
      </x:c>
      <x:c r="N27" s="30" t="str">
        <x:v>https://yucalyptus.github.io/biyou-cell-textbook/ch29.html</x:v>
      </x:c>
    </x:row>
    <x:row r="28" ht="88" customHeight="1">
      <x:c r="A28" s="90" t="str">
        <x:v>R024</x:v>
      </x:c>
      <x:c r="B28" s="58" t="str">
        <x:v>中</x:v>
      </x:c>
      <x:c r="C28" s="48" t="str">
        <x:v>未対応</x:v>
      </x:c>
      <x:c r="D28" s="48" t="str">
        <x:v>公開全体</x:v>
      </x:c>
      <x:c r="E28" s="48" t="str">
        <x:v>全体</x:v>
      </x:c>
      <x:c r="F28" s="48" t="str">
        <x:v>章内ナビゲーション</x:v>
      </x:c>
      <x:c r="G28" s="48" t="str">
        <x:v>h2/h3見出し</x:v>
      </x:c>
      <x:c r="H28" s="48" t="str">
        <x:v>&lt;h2&gt;見出し&lt;/h2&gt;（idなし）</x:v>
      </x:c>
      <x:c r="I28" s="48" t="str">
        <x:v>長文の回遊性</x:v>
      </x:c>
      <x:c r="J28" s="48" t="str">
        <x:v>節へ直接リンクできず、スマホでは章の途中へ戻りにくい。長い章を資料として参照しづらい。</x:v>
      </x:c>
      <x:c r="K28" s="48" t="str">
        <x:v>見出しに安定したidを生成し、章冒頭に短い章内目次を置く。見出し横にリンクコピー導線を付けてもよい。</x:v>
      </x:c>
      <x:c r="L28" s="48" t="str">
        <x:v>URLフラグメントで任意の節へ直接移動できること。</x:v>
      </x:c>
      <x:c r="M28" s="48" t="str">
        <x:v>build_site.py:634-645</x:v>
      </x:c>
      <x:c r="N28" s="30" t="str">
        <x:v>https://yucalyptus.github.io/biyou-cell-textbook/ch54.html</x:v>
      </x:c>
    </x:row>
    <x:row r="29" ht="88" customHeight="1">
      <x:c r="A29" s="90" t="str">
        <x:v>R025</x:v>
      </x:c>
      <x:c r="B29" s="58" t="str">
        <x:v>中</x:v>
      </x:c>
      <x:c r="C29" s="48" t="str">
        <x:v>未対応</x:v>
      </x:c>
      <x:c r="D29" s="48" t="str">
        <x:v>公開全体</x:v>
      </x:c>
      <x:c r="E29" s="48" t="str">
        <x:v>全体</x:v>
      </x:c>
      <x:c r="F29" s="48" t="str">
        <x:v>サイドバー</x:v>
      </x:c>
      <x:c r="G29" s="48" t="str">
        <x:v>全ページ共通ナビ</x:v>
      </x:c>
      <x:c r="H29" s="48" t="str">
        <x:v>＋の意味は表紙でのみ説明／モバイル目次は全56章を一列表示</x:v>
      </x:c>
      <x:c r="I29" s="48" t="str">
        <x:v>導線・情報設計</x:v>
      </x:c>
      <x:c r="J29" s="48" t="str">
        <x:v>章へ直接流入した読者は＋の意味を知らない。モバイルの章一覧も長く、目的の章を探しにくい。</x:v>
      </x:c>
      <x:c r="K29" s="48" t="str">
        <x:v>サイドバー上部に『＋＝各論（飛ばしても基礎の筋は通る）』の凡例を置き、部単位の折りたたみまたは章名フィルタを追加する。</x:v>
      </x:c>
      <x:c r="L29" s="48" t="str">
        <x:v>スマホで3操作以内に任意章へ移動できるか確認。</x:v>
      </x:c>
      <x:c r="M29" s="48" t="str">
        <x:v>build_site.py:806-825</x:v>
      </x:c>
      <x:c r="N29" s="30" t="str">
        <x:v>https://yucalyptus.github.io/biyou-cell-textbook/</x:v>
      </x:c>
    </x:row>
    <x:row r="30" ht="88" customHeight="1">
      <x:c r="A30" s="91" t="str">
        <x:v>R026</x:v>
      </x:c>
      <x:c r="B30" s="88" t="str">
        <x:v>低</x:v>
      </x:c>
      <x:c r="C30" s="49" t="str">
        <x:v>未対応</x:v>
      </x:c>
      <x:c r="D30" s="49" t="str">
        <x:v>公開全体</x:v>
      </x:c>
      <x:c r="E30" s="49" t="str">
        <x:v>全体</x:v>
      </x:c>
      <x:c r="F30" s="49" t="str">
        <x:v>サイト内検索</x:v>
      </x:c>
      <x:c r="G30" s="49" t="str">
        <x:v>全56章</x:v>
      </x:c>
      <x:c r="H30" s="49" t="str">
        <x:v>章タイトル・本文を横断する検索がない</x:v>
      </x:c>
      <x:c r="I30" s="49" t="str">
        <x:v>探索性</x:v>
      </x:c>
      <x:c r="J30" s="49" t="str">
        <x:v>用語から章を探したい読者が、各ページのブラウザ内検索しか使えない。</x:v>
      </x:c>
      <x:c r="K30" s="49" t="str">
        <x:v>まずは章タイトルの絞り込みを追加し、必要なら静的検索インデックスで本文検索を実装する。</x:v>
      </x:c>
      <x:c r="L30" s="49" t="str">
        <x:v>『NAD』『肝斑』『TGF-β』などから該当章へ到達できること。</x:v>
      </x:c>
      <x:c r="M30" s="49" t="str">
        <x:v>build_site.py / docs/</x:v>
      </x:c>
      <x:c r="N30" s="32" t="str">
        <x:v>https://yucalyptus.github.io/biyou-cell-textbook/</x:v>
      </x:c>
    </x:row>
  </x:sheetData>
  <x:mergeCells>
    <x:mergeCell ref="A1:N1"/>
    <x:mergeCell ref="A2:N2"/>
  </x:mergeCells>
  <x:dataValidations count="2">
    <x:dataValidation type="list" sqref="C5:C30">
      <x:formula1>"未対応,対応中,要検討,対応済み,保留"</x:formula1>
    </x:dataValidation>
    <x:dataValidation type="list" sqref="B5:B30">
      <x:formula1>"最優先,高,中,低"</x:formula1>
    </x:dataValidation>
  </x:dataValidations>
  <x:pageMargins left="0.7" right="0.7" top="0.75" bottom="0.75" header="0.3" footer="0.3"/>
  <x:tableParts count="1">
    <x:tablePart xmlns:r="http://schemas.openxmlformats.org/officeDocument/2006/relationships" r:id="Rd290aeaae257418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12" hidden="0" customWidth="1"/>
    <x:col min="4" max="4" width="12" hidden="0" customWidth="1"/>
    <x:col min="5" max="5" width="25" hidden="0" customWidth="1"/>
    <x:col min="6" max="6" width="28" hidden="0" customWidth="1"/>
    <x:col min="7" max="7" width="8" hidden="0" customWidth="1"/>
    <x:col min="8" max="8" width="70" hidden="0" customWidth="1"/>
    <x:col min="9" max="9" width="18" hidden="0" customWidth="1"/>
    <x:col min="10" max="10" width="52" hidden="0" customWidth="1"/>
    <x:col min="11" max="11" width="38" hidden="0" customWidth="1"/>
    <x:col min="12" max="12" width="45" hidden="0" customWidth="1"/>
  </x:cols>
  <x:sheetData>
    <x:row r="1" ht="32" customHeight="1">
      <x:c r="A1" s="3" t="str">
        <x:v>要確認一覧</x:v>
      </x:c>
      <x:c r="B1" s="3"/>
      <x:c r="C1" s="3"/>
      <x:c r="D1" s="3"/>
      <x:c r="E1" s="3"/>
      <x:c r="F1" s="3"/>
      <x:c r="G1" s="3"/>
      <x:c r="H1" s="3"/>
      <x:c r="I1" s="3"/>
      <x:c r="J1" s="3"/>
      <x:c r="K1" s="3"/>
      <x:c r="L1" s="3"/>
    </x:row>
    <x:row r="2" ht="28" customHeight="1">
      <x:c r="A2" s="7" t="str">
        <x:v>本文に残る『要確認』56箇所を抽出。安全性・規制・書誌・数値を優先度順に照合してください。</x:v>
      </x:c>
      <x:c r="B2" s="7"/>
      <x:c r="C2" s="7"/>
      <x:c r="D2" s="7"/>
      <x:c r="E2" s="7"/>
      <x:c r="F2" s="7"/>
      <x:c r="G2" s="7"/>
      <x:c r="H2" s="7"/>
      <x:c r="I2" s="7"/>
      <x:c r="J2" s="7"/>
      <x:c r="K2" s="7"/>
      <x:c r="L2" s="7"/>
    </x:row>
    <x:row r="4" ht="32" customHeight="1">
      <x:c r="A4" s="13" t="str">
        <x:v>ID</x:v>
      </x:c>
      <x:c r="B4" s="13" t="str">
        <x:v>優先度</x:v>
      </x:c>
      <x:c r="C4" s="13" t="str">
        <x:v>状態</x:v>
      </x:c>
      <x:c r="D4" s="13" t="str">
        <x:v>章</x:v>
      </x:c>
      <x:c r="E4" s="13" t="str">
        <x:v>章タイトル</x:v>
      </x:c>
      <x:c r="F4" s="13" t="str">
        <x:v>節</x:v>
      </x:c>
      <x:c r="G4" s="13" t="str">
        <x:v>行</x:v>
      </x:c>
      <x:c r="H4" s="13" t="str">
        <x:v>原文（そのまま）</x:v>
      </x:c>
      <x:c r="I4" s="13" t="str">
        <x:v>分類</x:v>
      </x:c>
      <x:c r="J4" s="13" t="str">
        <x:v>推奨対応</x:v>
      </x:c>
      <x:c r="K4" s="13" t="str">
        <x:v>ファイル</x:v>
      </x:c>
      <x:c r="L4" s="13" t="str">
        <x:v>公開URL</x:v>
      </x:c>
    </x:row>
    <x:row r="5" ht="100" customHeight="1">
      <x:c r="A5" s="89" t="str">
        <x:v>Q001</x:v>
      </x:c>
      <x:c r="B5" s="94" t="str">
        <x:v>中</x:v>
      </x:c>
      <x:c r="C5" s="98" t="str">
        <x:v>未対応</x:v>
      </x:c>
      <x:c r="D5" s="98" t="str">
        <x:v>第22章</x:v>
      </x:c>
      <x:c r="E5" s="98" t="str">
        <x:v>血管・内皮と神経血管ユニット ―― あかみの土台</x:v>
      </x:c>
      <x:c r="F5" s="98" t="str">
        <x:v>中核参考文献</x:v>
      </x:c>
      <x:c r="G5" s="98" t="n">
        <x:v>113</x:v>
      </x:c>
      <x:c r="H5" s="47" t="str">
        <x:v>- Roh YS, Choi J, et al./Steinhoff M, et al. Neurovascular aspects of skin（神経血管・神経原性炎症の総説）.（**神経血管ユニットと赤み**。書誌は要確認）</x:v>
      </x:c>
      <x:c r="I5" s="47" t="str">
        <x:v>書誌照合</x:v>
      </x:c>
      <x:c r="J5" s="47" t="str">
        <x:v>PubMed・出版社ページ・一次文献で書誌を照合し、PMID/DOIを確定する。照合できない引用は本文の根拠として使わない。</x:v>
      </x:c>
      <x:c r="K5" s="47" t="str">
        <x:v>本文/第22章_血管と内皮.md</x:v>
      </x:c>
      <x:c r="L5" s="28" t="str">
        <x:v>https://yucalyptus.github.io/biyou-cell-textbook/ch22.html</x:v>
      </x:c>
    </x:row>
    <x:row r="6" ht="100" customHeight="1">
      <x:c r="A6" s="90" t="str">
        <x:v>Q002</x:v>
      </x:c>
      <x:c r="B6" s="58" t="str">
        <x:v>中</x:v>
      </x:c>
      <x:c r="C6" s="99" t="str">
        <x:v>未対応</x:v>
      </x:c>
      <x:c r="D6" s="99" t="str">
        <x:v>第27章</x:v>
      </x:c>
      <x:c r="E6" s="99" t="str">
        <x:v>線維芽細胞とコラーゲン</x:v>
      </x:c>
      <x:c r="F6" s="99" t="str">
        <x:v>中核参考文献（総説中心。PMID/DOI・年は最終照合を要する＝要確認）</x:v>
      </x:c>
      <x:c r="G6" s="99" t="n">
        <x:v>112</x:v>
      </x:c>
      <x:c r="H6" s="48" t="str">
        <x:v>### 中核参考文献（総説中心。PMID/DOI・年は最終照合を要する＝要確認）</x:v>
      </x:c>
      <x:c r="I6" s="48" t="str">
        <x:v>書誌照合</x:v>
      </x:c>
      <x:c r="J6" s="48" t="str">
        <x:v>PubMed・出版社ページ・一次文献で書誌を照合し、PMID/DOIを確定する。照合できない引用は本文の根拠として使わない。</x:v>
      </x:c>
      <x:c r="K6" s="48" t="str">
        <x:v>本文/第27章_線維芽細胞とコラーゲン.md</x:v>
      </x:c>
      <x:c r="L6" s="30" t="str">
        <x:v>https://yucalyptus.github.io/biyou-cell-textbook/ch27.html</x:v>
      </x:c>
    </x:row>
    <x:row r="7" ht="100" customHeight="1">
      <x:c r="A7" s="90" t="str">
        <x:v>Q003</x:v>
      </x:c>
      <x:c r="B7" s="58" t="str">
        <x:v>中</x:v>
      </x:c>
      <x:c r="C7" s="99" t="str">
        <x:v>未対応</x:v>
      </x:c>
      <x:c r="D7" s="99" t="str">
        <x:v>第28章</x:v>
      </x:c>
      <x:c r="E7" s="99" t="str">
        <x:v>ヒアルロン酸フィラーの生化学</x:v>
      </x:c>
      <x:c r="F7" s="99" t="str">
        <x:v>1　体積を作っているのは、製剤そのもの</x:v>
      </x:c>
      <x:c r="G7" s="99" t="n">
        <x:v>23</x:v>
      </x:c>
      <x:c r="H7" s="48" t="str">
        <x:v>生化学的に際立つのは**強い保水性**です。分子鎖上の多数のヒドロキシル基・カルボキシル基が水分子を引き込み、**浸透圧的な膨潤（osmotic swelling）**を起こす。「HA 1gが水を大量に抱え込む」という表現は目にしますが、**具体的な倍率は条件（濃度・架橋度・イオン環境）で大きく変わる**ため、固定した数値として扱わないほうが安全です（要確認）。</x:v>
      </x:c>
      <x:c r="I7" s="48" t="str">
        <x:v>数値・頻度</x:v>
      </x:c>
      <x:c r="J7" s="48" t="str">
        <x:v>一次文献で数値と条件を確認し、幅・対象・測定条件を併記する。固定値にできない場合は定性的表現へ戻す。</x:v>
      </x:c>
      <x:c r="K7" s="48" t="str">
        <x:v>本文/第28章_ヒアルロン酸フィラーの生化学.md</x:v>
      </x:c>
      <x:c r="L7" s="30" t="str">
        <x:v>https://yucalyptus.github.io/biyou-cell-textbook/ch28.html</x:v>
      </x:c>
    </x:row>
    <x:row r="8" ht="100" customHeight="1">
      <x:c r="A8" s="90" t="str">
        <x:v>Q004</x:v>
      </x:c>
      <x:c r="B8" s="58" t="str">
        <x:v>中</x:v>
      </x:c>
      <x:c r="C8" s="99" t="str">
        <x:v>未対応</x:v>
      </x:c>
      <x:c r="D8" s="99" t="str">
        <x:v>第28章</x:v>
      </x:c>
      <x:c r="E8" s="99" t="str">
        <x:v>ヒアルロン酸フィラーの生化学</x:v>
      </x:c>
      <x:c r="F8" s="99" t="str">
        <x:v>1　体積を作っているのは、製剤そのもの</x:v>
      </x:c>
      <x:c r="G8" s="99" t="n">
        <x:v>25</x:v>
      </x:c>
      <x:c r="H8" s="48" t="str">
        <x:v>ただし真皮の **native HA（内因性ヒアルロン酸）**は、**ターンオーバーが非常に速い**分子です。皮膚のHAは合成・分解のサイクルが数時間〜数日オーダーとされ（要確認）、常に作っては壊される回転物。**この速さが、注入用には都合が悪い**——そのままでは酵素分解・拡散してしまい、体積を維持できません。だから**分解に抵抗性を持たせる化学修飾（架橋）**が要ります。</x:v>
      </x:c>
      <x:c r="I8" s="48" t="str">
        <x:v>数値・頻度</x:v>
      </x:c>
      <x:c r="J8" s="48" t="str">
        <x:v>一次文献で数値と条件を確認し、幅・対象・測定条件を併記する。固定値にできない場合は定性的表現へ戻す。</x:v>
      </x:c>
      <x:c r="K8" s="48" t="str">
        <x:v>本文/第28章_ヒアルロン酸フィラーの生化学.md</x:v>
      </x:c>
      <x:c r="L8" s="30" t="str">
        <x:v>https://yucalyptus.github.io/biyou-cell-textbook/ch28.html</x:v>
      </x:c>
    </x:row>
    <x:row r="9" ht="100" customHeight="1">
      <x:c r="A9" s="90" t="str">
        <x:v>Q005</x:v>
      </x:c>
      <x:c r="B9" s="58" t="str">
        <x:v>中</x:v>
      </x:c>
      <x:c r="C9" s="99" t="str">
        <x:v>未対応</x:v>
      </x:c>
      <x:c r="D9" s="99" t="str">
        <x:v>第28章</x:v>
      </x:c>
      <x:c r="E9" s="99" t="str">
        <x:v>ヒアルロン酸フィラーの生化学</x:v>
      </x:c>
      <x:c r="F9" s="99" t="str">
        <x:v>2　架橋の生化学 ―― 同じHAでも別物になる理由</x:v>
      </x:c>
      <x:c r="G9" s="99" t="n">
        <x:v>32</x:v>
      </x:c>
      <x:c r="H9" s="48" t="str">
        <x:v>持続を作っているのが**架橋（cross-linking）**です。代表的な架橋剤が **BDDE（1,4-butanediol diglycidyl ether）**で、そのエポキシ基がHA鎖上のヒドロキシル基と反応し、**隣り合うHA鎖のあいだにエーテル結合を作る**（要確認：反応化学の詳細）。線状のHA溶液が**網目状のヒドロゲル**に変わり、**hyaluronidaseによる酵素分解にも、機械的なずり応力による分解にも抵抗性が上がる**——これが持続の分子的な鍵です。</x:v>
      </x:c>
      <x:c r="I9" s="48" t="str">
        <x:v>内容確認</x:v>
      </x:c>
      <x:c r="J9" s="48" t="str">
        <x:v>対応する一次文献を確認し、確立事項・外挿・未確立を分けて記述する。公開版の『要確認』は、根拠を確定するか留保文へ置き換える。</x:v>
      </x:c>
      <x:c r="K9" s="48" t="str">
        <x:v>本文/第28章_ヒアルロン酸フィラーの生化学.md</x:v>
      </x:c>
      <x:c r="L9" s="30" t="str">
        <x:v>https://yucalyptus.github.io/biyou-cell-textbook/ch28.html</x:v>
      </x:c>
    </x:row>
    <x:row r="10" ht="100" customHeight="1">
      <x:c r="A10" s="90" t="str">
        <x:v>Q006</x:v>
      </x:c>
      <x:c r="B10" s="58" t="str">
        <x:v>中</x:v>
      </x:c>
      <x:c r="C10" s="99" t="str">
        <x:v>未対応</x:v>
      </x:c>
      <x:c r="D10" s="99" t="str">
        <x:v>第28章</x:v>
      </x:c>
      <x:c r="E10" s="99" t="str">
        <x:v>ヒアルロン酸フィラーの生化学</x:v>
      </x:c>
      <x:c r="F10" s="99" t="str">
        <x:v>3　二次効果はどこまで言えるか</x:v>
      </x:c>
      <x:c r="G10" s="99" t="n">
        <x:v>51</x:v>
      </x:c>
      <x:c r="H10" s="48" t="str">
        <x:v>ヒト光老化皮膚の前腕に架橋HAを注入し、その後の生検で**procollagen Iの増加・MMP-1の低下**、そして機械的伸展を介した経路（CTGF誘導など）を示唆した報告があります（Wang 2007、要確認）。</x:v>
      </x:c>
      <x:c r="I10" s="48" t="str">
        <x:v>内容確認</x:v>
      </x:c>
      <x:c r="J10" s="48" t="str">
        <x:v>対応する一次文献を確認し、確立事項・外挿・未確立を分けて記述する。公開版の『要確認』は、根拠を確定するか留保文へ置き換える。</x:v>
      </x:c>
      <x:c r="K10" s="48" t="str">
        <x:v>本文/第28章_ヒアルロン酸フィラーの生化学.md</x:v>
      </x:c>
      <x:c r="L10" s="30" t="str">
        <x:v>https://yucalyptus.github.io/biyou-cell-textbook/ch28.html</x:v>
      </x:c>
    </x:row>
    <x:row r="11" ht="100" customHeight="1">
      <x:c r="A11" s="90" t="str">
        <x:v>Q007</x:v>
      </x:c>
      <x:c r="B11" s="55" t="str">
        <x:v>高</x:v>
      </x:c>
      <x:c r="C11" s="99" t="str">
        <x:v>未対応</x:v>
      </x:c>
      <x:c r="D11" s="99" t="str">
        <x:v>第28章</x:v>
      </x:c>
      <x:c r="E11" s="99" t="str">
        <x:v>ヒアルロン酸フィラーの生化学</x:v>
      </x:c>
      <x:c r="F11" s="99" t="str">
        <x:v>hyaluronidaseによる分解</x:v>
      </x:c>
      <x:c r="G11" s="99" t="n">
        <x:v>68</x:v>
      </x:c>
      <x:c r="H11" s="48" t="str">
        <x:v>**hyaluronidase**は、HA鎖の**β-1,4グリコシド結合**を加水分解し、鎖を短い断片へ切り分ける酵素です（Buhren 2016、要確認）。**native HAだけでなく架橋HAも分解でき**（架橋度が高いほど、分解に要する酵素量・時間は増える傾向）、注入したフィラーの体積を意図的に減らせます。**PMMAやシリコンのような永久充填剤には原理的にできない**安全域です。</x:v>
      </x:c>
      <x:c r="I11" s="48" t="str">
        <x:v>安全性・臨床運用</x:v>
      </x:c>
      <x:c r="J11" s="48" t="str">
        <x:v>最新ガイドライン・添付文書・一次文献で確認し、対象・条件・不確実性を明記する。公開版では未照合のまま断定しない。</x:v>
      </x:c>
      <x:c r="K11" s="48" t="str">
        <x:v>本文/第28章_ヒアルロン酸フィラーの生化学.md</x:v>
      </x:c>
      <x:c r="L11" s="30" t="str">
        <x:v>https://yucalyptus.github.io/biyou-cell-textbook/ch28.html</x:v>
      </x:c>
    </x:row>
    <x:row r="12" ht="100" customHeight="1">
      <x:c r="A12" s="90" t="str">
        <x:v>Q008</x:v>
      </x:c>
      <x:c r="B12" s="55" t="str">
        <x:v>高</x:v>
      </x:c>
      <x:c r="C12" s="99" t="str">
        <x:v>未対応</x:v>
      </x:c>
      <x:c r="D12" s="99" t="str">
        <x:v>第28章</x:v>
      </x:c>
      <x:c r="E12" s="99" t="str">
        <x:v>ヒアルロン酸フィラーの生化学</x:v>
      </x:c>
      <x:c r="F12" s="99" t="str">
        <x:v>血管塞栓：可逆な物質でも、起きる合併症は不可逆でありうる</x:v>
      </x:c>
      <x:c r="G12" s="99" t="n">
        <x:v>72</x:v>
      </x:c>
      <x:c r="H12" s="48" t="str">
        <x:v>最も重大な合併症が**血管塞栓**です。フィラーが動脈内に直接注入される、あるいは周囲から血管を圧迫することで**下流組織への血流が絶たれ**、皮膚壊死、まれに眼動脈領域への逆行性の流入によって**網膜動脈閉塞→失明**に至りうることが知られています（DeLorenzi 2014、要確認）。機序は「毒性」ではなく、**純粋に物理的な血管の閉塞・圧迫**です。緊急時の対応の柱が**高用量のhyaluronidase**による塞栓部のHAの分解で、血流の再開を図るという考え方が広く共有されています（用量・手技はこの教材の対象外とします）。</x:v>
      </x:c>
      <x:c r="I12" s="48" t="str">
        <x:v>安全性・臨床運用</x:v>
      </x:c>
      <x:c r="J12" s="48" t="str">
        <x:v>最新ガイドライン・添付文書・一次文献で確認し、対象・条件・不確実性を明記する。公開版では未照合のまま断定しない。</x:v>
      </x:c>
      <x:c r="K12" s="48" t="str">
        <x:v>本文/第28章_ヒアルロン酸フィラーの生化学.md</x:v>
      </x:c>
      <x:c r="L12" s="30" t="str">
        <x:v>https://yucalyptus.github.io/biyou-cell-textbook/ch28.html</x:v>
      </x:c>
    </x:row>
    <x:row r="13" ht="100" customHeight="1">
      <x:c r="A13" s="90" t="str">
        <x:v>Q009</x:v>
      </x:c>
      <x:c r="B13" s="58" t="str">
        <x:v>中</x:v>
      </x:c>
      <x:c r="C13" s="99" t="str">
        <x:v>未対応</x:v>
      </x:c>
      <x:c r="D13" s="99" t="str">
        <x:v>第28章</x:v>
      </x:c>
      <x:c r="E13" s="99" t="str">
        <x:v>ヒアルロン酸フィラーの生化学</x:v>
      </x:c>
      <x:c r="F13" s="99" t="str">
        <x:v>遅発性結節：複数の候補機序</x:v>
      </x:c>
      <x:c r="G13" s="99" t="n">
        <x:v>84</x:v>
      </x:c>
      <x:c r="H13" s="48" t="str">
        <x:v>（Alijotas-Reig 2013、要確認）。**相対的な寄与や関係性は現時点でも未確立**で、議論が続いている領域です。</x:v>
      </x:c>
      <x:c r="I13" s="48" t="str">
        <x:v>内容確認</x:v>
      </x:c>
      <x:c r="J13" s="48" t="str">
        <x:v>対応する一次文献を確認し、確立事項・外挿・未確立を分けて記述する。公開版の『要確認』は、根拠を確定するか留保文へ置き換える。</x:v>
      </x:c>
      <x:c r="K13" s="48" t="str">
        <x:v>本文/第28章_ヒアルロン酸フィラーの生化学.md</x:v>
      </x:c>
      <x:c r="L13" s="30" t="str">
        <x:v>https://yucalyptus.github.io/biyou-cell-textbook/ch28.html</x:v>
      </x:c>
    </x:row>
    <x:row r="14" ht="100" customHeight="1">
      <x:c r="A14" s="90" t="str">
        <x:v>Q010</x:v>
      </x:c>
      <x:c r="B14" s="55" t="str">
        <x:v>高</x:v>
      </x:c>
      <x:c r="C14" s="99" t="str">
        <x:v>未対応</x:v>
      </x:c>
      <x:c r="D14" s="99" t="str">
        <x:v>第29章</x:v>
      </x:c>
      <x:c r="E14" s="99" t="str">
        <x:v>レチノイド外用の生化学</x:v>
      </x:c>
      <x:c r="F14" s="99" t="str">
        <x:v>5　retinization と製剤差、そして妊娠</x:v>
      </x:c>
      <x:c r="G14" s="99" t="n">
        <x:v>91</x:v>
      </x:c>
      <x:c r="H14" s="48" t="str">
        <x:v>催奇性については、経口レチノイド（isotretinoin 等）に催奇性があり、妊娠可能な女性への処方に厳格な避妊管理が求められることは確立しています。**外用の全身曝露量は経口よりはるかに小さい**と考えられていますが、ヒトでのデータは限られ、リスクがゼロと示されたわけではありません。**妊娠中・妊娠を計画している場合は外用も予防的に避けるという保守的な運用が一般的**です。その閾値や実際のリスクの大きさについては研究間でばらつきがあります（要確認）。</x:v>
      </x:c>
      <x:c r="I14" s="48" t="str">
        <x:v>安全性・臨床運用</x:v>
      </x:c>
      <x:c r="J14" s="48" t="str">
        <x:v>最新ガイドライン・添付文書・一次文献で確認し、対象・条件・不確実性を明記する。公開版では未照合のまま断定しない。</x:v>
      </x:c>
      <x:c r="K14" s="48" t="str">
        <x:v>本文/第29章_レチノイド外用の生化学.md</x:v>
      </x:c>
      <x:c r="L14" s="30" t="str">
        <x:v>https://yucalyptus.github.io/biyou-cell-textbook/ch29.html</x:v>
      </x:c>
    </x:row>
    <x:row r="15" ht="100" customHeight="1">
      <x:c r="A15" s="90" t="str">
        <x:v>Q011</x:v>
      </x:c>
      <x:c r="B15" s="55" t="str">
        <x:v>高</x:v>
      </x:c>
      <x:c r="C15" s="99" t="str">
        <x:v>未対応</x:v>
      </x:c>
      <x:c r="D15" s="99" t="str">
        <x:v>第29章</x:v>
      </x:c>
      <x:c r="E15" s="99" t="str">
        <x:v>レチノイド外用の生化学</x:v>
      </x:c>
      <x:c r="F15" s="99" t="str">
        <x:v>Evidence meter</x:v>
      </x:c>
      <x:c r="G15" s="99" t="n">
        <x:v>113</x:v>
      </x:c>
      <x:c r="H15" s="48" t="str">
        <x:v>- 外用レチノイドの妊娠中の安全域（経口ほどの明確なヒト催奇性データがあるか）：**未確立。保守的運用が臨床コンセンサス（要確認）**</x:v>
      </x:c>
      <x:c r="I15" s="48" t="str">
        <x:v>安全性・臨床運用</x:v>
      </x:c>
      <x:c r="J15" s="48" t="str">
        <x:v>最新ガイドライン・添付文書・一次文献で確認し、対象・条件・不確実性を明記する。公開版では未照合のまま断定しない。</x:v>
      </x:c>
      <x:c r="K15" s="48" t="str">
        <x:v>本文/第29章_レチノイド外用の生化学.md</x:v>
      </x:c>
      <x:c r="L15" s="30" t="str">
        <x:v>https://yucalyptus.github.io/biyou-cell-textbook/ch29.html</x:v>
      </x:c>
    </x:row>
    <x:row r="16" ht="100" customHeight="1">
      <x:c r="A16" s="90" t="str">
        <x:v>Q012</x:v>
      </x:c>
      <x:c r="B16" s="58" t="str">
        <x:v>中</x:v>
      </x:c>
      <x:c r="C16" s="99" t="str">
        <x:v>未対応</x:v>
      </x:c>
      <x:c r="D16" s="99" t="str">
        <x:v>第30章</x:v>
      </x:c>
      <x:c r="E16" s="99" t="str">
        <x:v>弾性線維と膠原線維 ―― 増やせるのはコラーゲンだけ</x:v>
      </x:c>
      <x:c r="F16" s="99" t="str">
        <x:v>中核参考文献（総説中心。PMID/DOI・年は最終照合を要する＝要確認）</x:v>
      </x:c>
      <x:c r="G16" s="99" t="n">
        <x:v>85</x:v>
      </x:c>
      <x:c r="H16" s="48" t="str">
        <x:v>### 中核参考文献（総説中心。PMID/DOI・年は最終照合を要する＝要確認）</x:v>
      </x:c>
      <x:c r="I16" s="48" t="str">
        <x:v>書誌照合</x:v>
      </x:c>
      <x:c r="J16" s="48" t="str">
        <x:v>PubMed・出版社ページ・一次文献で書誌を照合し、PMID/DOIを確定する。照合できない引用は本文の根拠として使わない。</x:v>
      </x:c>
      <x:c r="K16" s="48" t="str">
        <x:v>本文/第30章_弾性線維と膠原線維.md</x:v>
      </x:c>
      <x:c r="L16" s="30" t="str">
        <x:v>https://yucalyptus.github.io/biyou-cell-textbook/ch30.html</x:v>
      </x:c>
    </x:row>
    <x:row r="17" ht="100" customHeight="1">
      <x:c r="A17" s="90" t="str">
        <x:v>Q013</x:v>
      </x:c>
      <x:c r="B17" s="58" t="str">
        <x:v>中</x:v>
      </x:c>
      <x:c r="C17" s="99" t="str">
        <x:v>未対応</x:v>
      </x:c>
      <x:c r="D17" s="99" t="str">
        <x:v>第31章</x:v>
      </x:c>
      <x:c r="E17" s="99" t="str">
        <x:v>糖化とAGE ―― 一度できた架橋は外れない</x:v>
      </x:c>
      <x:c r="F17" s="99" t="str">
        <x:v>中核参考文献（PMID/DOI・年は最終照合を要する＝要確認）</x:v>
      </x:c>
      <x:c r="G17" s="99" t="n">
        <x:v>87</x:v>
      </x:c>
      <x:c r="H17" s="48" t="str">
        <x:v>### 中核参考文献（PMID/DOI・年は最終照合を要する＝要確認）</x:v>
      </x:c>
      <x:c r="I17" s="48" t="str">
        <x:v>書誌照合</x:v>
      </x:c>
      <x:c r="J17" s="48" t="str">
        <x:v>PubMed・出版社ページ・一次文献で書誌を照合し、PMID/DOIを確定する。照合できない引用は本文の根拠として使わない。</x:v>
      </x:c>
      <x:c r="K17" s="48" t="str">
        <x:v>本文/第31章_糖化とAGE.md</x:v>
      </x:c>
      <x:c r="L17" s="30" t="str">
        <x:v>https://yucalyptus.github.io/biyou-cell-textbook/ch31.html</x:v>
      </x:c>
    </x:row>
    <x:row r="18" ht="100" customHeight="1">
      <x:c r="A18" s="90" t="str">
        <x:v>Q014</x:v>
      </x:c>
      <x:c r="B18" s="58" t="str">
        <x:v>中</x:v>
      </x:c>
      <x:c r="C18" s="99" t="str">
        <x:v>未対応</x:v>
      </x:c>
      <x:c r="D18" s="99" t="str">
        <x:v>第31章</x:v>
      </x:c>
      <x:c r="E18" s="99" t="str">
        <x:v>糖化とAGE ―― 一度できた架橋は外れない</x:v>
      </x:c>
      <x:c r="F18" s="99" t="str">
        <x:v>中核参考文献（PMID/DOI・年は最終照合を要する＝要確認）</x:v>
      </x:c>
      <x:c r="G18" s="99" t="n">
        <x:v>90</x:v>
      </x:c>
      <x:c r="H18" s="48" t="str">
        <x:v>- Monnier VM, Bautista O, Kenny D, et al. Skin collagen glycation, glycoxidation, and crosslinking are lower in subjects with long-term intensive versus conventional therapy of type 1 diabetes. *Diabetes.* 1999;48(4):870-880.（**強化血糖管理と皮膚コラーゲン糖化・架橋指標**。書誌は要確認）</x:v>
      </x:c>
      <x:c r="I18" s="48" t="str">
        <x:v>書誌照合</x:v>
      </x:c>
      <x:c r="J18" s="48" t="str">
        <x:v>PubMed・出版社ページ・一次文献で書誌を照合し、PMID/DOIを確定する。照合できない引用は本文の根拠として使わない。</x:v>
      </x:c>
      <x:c r="K18" s="48" t="str">
        <x:v>本文/第31章_糖化とAGE.md</x:v>
      </x:c>
      <x:c r="L18" s="30" t="str">
        <x:v>https://yucalyptus.github.io/biyou-cell-textbook/ch31.html</x:v>
      </x:c>
    </x:row>
    <x:row r="19" ht="100" customHeight="1">
      <x:c r="A19" s="90" t="str">
        <x:v>Q015</x:v>
      </x:c>
      <x:c r="B19" s="58" t="str">
        <x:v>中</x:v>
      </x:c>
      <x:c r="C19" s="99" t="str">
        <x:v>未対応</x:v>
      </x:c>
      <x:c r="D19" s="99" t="str">
        <x:v>第31章</x:v>
      </x:c>
      <x:c r="E19" s="99" t="str">
        <x:v>糖化とAGE ―― 一度できた架橋は外れない</x:v>
      </x:c>
      <x:c r="F19" s="99" t="str">
        <x:v>中核参考文献（PMID/DOI・年は最終照合を要する＝要確認）</x:v>
      </x:c>
      <x:c r="G19" s="99" t="n">
        <x:v>91</x:v>
      </x:c>
      <x:c r="H19" s="48" t="str">
        <x:v>- Avery NC, Bailey AJ. The effects of the Maillard reaction on the physical properties and cell interactions of collagen. *Pathol Biol (Paris).* 2006;54(7):387-395.（**AGE架橋がコラーゲンの力学と分解抵抗に及ぼす影響**。書誌は要確認）</x:v>
      </x:c>
      <x:c r="I19" s="48" t="str">
        <x:v>書誌照合</x:v>
      </x:c>
      <x:c r="J19" s="48" t="str">
        <x:v>PubMed・出版社ページ・一次文献で書誌を照合し、PMID/DOIを確定する。照合できない引用は本文の根拠として使わない。</x:v>
      </x:c>
      <x:c r="K19" s="48" t="str">
        <x:v>本文/第31章_糖化とAGE.md</x:v>
      </x:c>
      <x:c r="L19" s="30" t="str">
        <x:v>https://yucalyptus.github.io/biyou-cell-textbook/ch31.html</x:v>
      </x:c>
    </x:row>
    <x:row r="20" ht="100" customHeight="1">
      <x:c r="A20" s="90" t="str">
        <x:v>Q016</x:v>
      </x:c>
      <x:c r="B20" s="58" t="str">
        <x:v>中</x:v>
      </x:c>
      <x:c r="C20" s="99" t="str">
        <x:v>未対応</x:v>
      </x:c>
      <x:c r="D20" s="99" t="str">
        <x:v>第31章</x:v>
      </x:c>
      <x:c r="E20" s="99" t="str">
        <x:v>糖化とAGE ―― 一度できた架橋は外れない</x:v>
      </x:c>
      <x:c r="F20" s="99" t="str">
        <x:v>中核参考文献（PMID/DOI・年は最終照合を要する＝要確認）</x:v>
      </x:c>
      <x:c r="G20" s="99" t="n">
        <x:v>92</x:v>
      </x:c>
      <x:c r="H20" s="48" t="str">
        <x:v>- Sell DR, Biemel KM, Reihl O, et al. Glucosepane is a major protein cross-link of the senescent human extracellular matrix. *J Biol Chem.* 2005;280(13):12310-12315.（**glucosepane がヒトECMの主要架橋であること**。書誌は要確認）</x:v>
      </x:c>
      <x:c r="I20" s="48" t="str">
        <x:v>書誌照合</x:v>
      </x:c>
      <x:c r="J20" s="48" t="str">
        <x:v>PubMed・出版社ページ・一次文献で書誌を照合し、PMID/DOIを確定する。照合できない引用は本文の根拠として使わない。</x:v>
      </x:c>
      <x:c r="K20" s="48" t="str">
        <x:v>本文/第31章_糖化とAGE.md</x:v>
      </x:c>
      <x:c r="L20" s="30" t="str">
        <x:v>https://yucalyptus.github.io/biyou-cell-textbook/ch31.html</x:v>
      </x:c>
    </x:row>
    <x:row r="21" ht="100" customHeight="1">
      <x:c r="A21" s="90" t="str">
        <x:v>Q017</x:v>
      </x:c>
      <x:c r="B21" s="58" t="str">
        <x:v>中</x:v>
      </x:c>
      <x:c r="C21" s="99" t="str">
        <x:v>未対応</x:v>
      </x:c>
      <x:c r="D21" s="99" t="str">
        <x:v>第32章</x:v>
      </x:c>
      <x:c r="E21" s="99" t="str">
        <x:v>たるみを構成する5要素 ―― 骨・脂肪・筋・靭帯・皮膚とボリュームロス</x:v>
      </x:c>
      <x:c r="F21" s="99" t="str">
        <x:v>中核参考文献（総説・解剖中心。PMID/DOI・年は最終照合を要する＝要確認）</x:v>
      </x:c>
      <x:c r="G21" s="99" t="n">
        <x:v>142</x:v>
      </x:c>
      <x:c r="H21" s="48" t="str">
        <x:v>### 中核参考文献（総説・解剖中心。PMID/DOI・年は最終照合を要する＝要確認）</x:v>
      </x:c>
      <x:c r="I21" s="48" t="str">
        <x:v>書誌照合</x:v>
      </x:c>
      <x:c r="J21" s="48" t="str">
        <x:v>PubMed・出版社ページ・一次文献で書誌を照合し、PMID/DOIを確定する。照合できない引用は本文の根拠として使わない。</x:v>
      </x:c>
      <x:c r="K21" s="48" t="str">
        <x:v>本文/第32章_たるみの多層構造.md</x:v>
      </x:c>
      <x:c r="L21" s="30" t="str">
        <x:v>https://yucalyptus.github.io/biyou-cell-textbook/ch32.html</x:v>
      </x:c>
    </x:row>
    <x:row r="22" ht="100" customHeight="1">
      <x:c r="A22" s="90" t="str">
        <x:v>Q018</x:v>
      </x:c>
      <x:c r="B22" s="58" t="str">
        <x:v>中</x:v>
      </x:c>
      <x:c r="C22" s="99" t="str">
        <x:v>未対応</x:v>
      </x:c>
      <x:c r="D22" s="99" t="str">
        <x:v>第32章</x:v>
      </x:c>
      <x:c r="E22" s="99" t="str">
        <x:v>たるみを構成する5要素 ―― 骨・脂肪・筋・靭帯・皮膚とボリュームロス</x:v>
      </x:c>
      <x:c r="F22" s="99" t="str">
        <x:v>中核参考文献（総説・解剖中心。PMID/DOI・年は最終照合を要する＝要確認）</x:v>
      </x:c>
      <x:c r="G22" s="99" t="n">
        <x:v>147</x:v>
      </x:c>
      <x:c r="H22" s="48" t="str">
        <x:v>- Mendelson B, Wong CH. Anatomy of the aging face（retaining ligamentとSMAS）. In: *Plastic Surgery*（教科書章）.（支持靭帯・SMASの解剖。書誌は要確認）</x:v>
      </x:c>
      <x:c r="I22" s="48" t="str">
        <x:v>書誌照合</x:v>
      </x:c>
      <x:c r="J22" s="48" t="str">
        <x:v>PubMed・出版社ページ・一次文献で書誌を照合し、PMID/DOIを確定する。照合できない引用は本文の根拠として使わない。</x:v>
      </x:c>
      <x:c r="K22" s="48" t="str">
        <x:v>本文/第32章_たるみの多層構造.md</x:v>
      </x:c>
      <x:c r="L22" s="30" t="str">
        <x:v>https://yucalyptus.github.io/biyou-cell-textbook/ch32.html</x:v>
      </x:c>
    </x:row>
    <x:row r="23" ht="100" customHeight="1">
      <x:c r="A23" s="90" t="str">
        <x:v>Q019</x:v>
      </x:c>
      <x:c r="B23" s="58" t="str">
        <x:v>中</x:v>
      </x:c>
      <x:c r="C23" s="99" t="str">
        <x:v>未対応</x:v>
      </x:c>
      <x:c r="D23" s="99" t="str">
        <x:v>第33章</x:v>
      </x:c>
      <x:c r="E23" s="99" t="str">
        <x:v>熱・光・機械刺激（RF・laser・HIFU）</x:v>
      </x:c>
      <x:c r="F23" s="99" t="str">
        <x:v>2　温度の物差しと細胞の運命：同じ「熱」でも温度×時間で結果が変わる</x:v>
      </x:c>
      <x:c r="G23" s="99" t="n">
        <x:v>28</x:v>
      </x:c>
      <x:c r="H23" s="48" t="str">
        <x:v>「熱を入れる」と一言で言っても、**到達温度と持続時間**で細胞に起きることはまるで別物です。水を多く含む組織での**おおまかな目安**（機種・組織・含水量で動くので絶対値ではありません／要確認）を、低温側から並べます。**この4帯が、以降のデバイス各論すべてで使う共通の物差し**です。</x:v>
      </x:c>
      <x:c r="I23" s="48" t="str">
        <x:v>数値・頻度</x:v>
      </x:c>
      <x:c r="J23" s="48" t="str">
        <x:v>一次文献で数値と条件を確認し、幅・対象・測定条件を併記する。固定値にできない場合は定性的表現へ戻す。</x:v>
      </x:c>
      <x:c r="K23" s="48" t="str">
        <x:v>本文/第33章_熱・光・機械刺激.md</x:v>
      </x:c>
      <x:c r="L23" s="30" t="str">
        <x:v>https://yucalyptus.github.io/biyou-cell-textbook/ch33.html</x:v>
      </x:c>
    </x:row>
    <x:row r="24" ht="100" customHeight="1">
      <x:c r="A24" s="90" t="str">
        <x:v>Q020</x:v>
      </x:c>
      <x:c r="B24" s="58" t="str">
        <x:v>中</x:v>
      </x:c>
      <x:c r="C24" s="99" t="str">
        <x:v>未対応</x:v>
      </x:c>
      <x:c r="D24" s="99" t="str">
        <x:v>第33章</x:v>
      </x:c>
      <x:c r="E24" s="99" t="str">
        <x:v>熱・光・機械刺激（RF・laser・HIFU）</x:v>
      </x:c>
      <x:c r="F24" s="99" t="str">
        <x:v>6　行き過ぎの副作用を細胞から見る：色素トラブルとROS・DNA損傷</x:v>
      </x:c>
      <x:c r="G24" s="99" t="n">
        <x:v>95</x:v>
      </x:c>
      <x:c r="H24" s="48" t="str">
        <x:v>熱刺激とそれに伴う炎症は melanocyte を刺激し、**炎症後色素沈着（post-inflammatory hyperpigmentation, PIH）**を招きえます。その機序は → 第46章。ここで押さえるのは、**「炎症を強く起こすほど良い」ではない**理由の一つがこれだ、という点だけです（skin type や部位で起こりやすさが変わるので、実際のリスクは症例ごとに評価が必要／要確認）。</x:v>
      </x:c>
      <x:c r="I24" s="48" t="str">
        <x:v>内容確認</x:v>
      </x:c>
      <x:c r="J24" s="48" t="str">
        <x:v>対応する一次文献を確認し、確立事項・外挿・未確立を分けて記述する。公開版の『要確認』は、根拠を確定するか留保文へ置き換える。</x:v>
      </x:c>
      <x:c r="K24" s="48" t="str">
        <x:v>本文/第33章_熱・光・機械刺激.md</x:v>
      </x:c>
      <x:c r="L24" s="30" t="str">
        <x:v>https://yucalyptus.github.io/biyou-cell-textbook/ch33.html</x:v>
      </x:c>
    </x:row>
    <x:row r="25" ht="100" customHeight="1">
      <x:c r="A25" s="90" t="str">
        <x:v>Q021</x:v>
      </x:c>
      <x:c r="B25" s="55" t="str">
        <x:v>高</x:v>
      </x:c>
      <x:c r="C25" s="99" t="str">
        <x:v>未対応</x:v>
      </x:c>
      <x:c r="D25" s="99" t="str">
        <x:v>第34章</x:v>
      </x:c>
      <x:c r="E25" s="99" t="str">
        <x:v>ニードルRFの生化学（フラクショナルマイクロニードルRF）</x:v>
      </x:c>
      <x:c r="F25" s="99" t="str">
        <x:v>6　応用：肝斑という不寛容な標的（§1〜5をどう使うか）</x:v>
      </x:c>
      <x:c r="G25" s="99" t="n">
        <x:v>104</x:v>
      </x:c>
      <x:c r="H25" s="48" t="str">
        <x:v>**臨床の温度感（慎重に）**：MNRFの肝斑はシステマティックレビュー（12研究/394例、Level 3）で **MASI/mMASI（melasma area and severity index＝肝斑の重症度スコア）が概ね21〜31%改善**、多くが東アジア発・短期・小規模（Kumar 2026）。ただし**熱による rebound・PIH・悪化は現実のリスク**で、遮光・トラネキサム酸などの併用、保守的設定、厳密な症例選択が前提。**日本ではMNRF機器の「肝斑」適応は基本オフラベル**と考えるのが妥当（要確認）。理屈上は**絶縁針（表皮温存）**が肝斑に合理的ですが、insulated vs non-insulated を肝斑で比較した質の高いデータはなく、これは推論です。</x:v>
      </x:c>
      <x:c r="I25" s="48" t="str">
        <x:v>規制・適応</x:v>
      </x:c>
      <x:c r="J25" s="48" t="str">
        <x:v>最新の公的文書・添付文書で、国・確認日・適応範囲を照合して明記する。変わり得る情報には最終更新日を付ける。</x:v>
      </x:c>
      <x:c r="K25" s="48" t="str">
        <x:v>本文/第34章_ニードルRFの生化学.md</x:v>
      </x:c>
      <x:c r="L25" s="30" t="str">
        <x:v>https://yucalyptus.github.io/biyou-cell-textbook/ch34.html</x:v>
      </x:c>
    </x:row>
    <x:row r="26" ht="100" customHeight="1">
      <x:c r="A26" s="90" t="str">
        <x:v>Q022</x:v>
      </x:c>
      <x:c r="B26" s="58" t="str">
        <x:v>中</x:v>
      </x:c>
      <x:c r="C26" s="99" t="str">
        <x:v>未対応</x:v>
      </x:c>
      <x:c r="D26" s="99" t="str">
        <x:v>第38章</x:v>
      </x:c>
      <x:c r="E26" s="99" t="str">
        <x:v>Qスイッチ・ピコ秒レーザー ― メラニンを狙う光機械的破砕</x:v>
      </x:c>
      <x:c r="F26" s="99" t="str">
        <x:v>2　光機械的破砕の物理 ―― 「焼く」でなく「粉砕する」</x:v>
      </x:c>
      <x:c r="G26" s="99" t="n">
        <x:v>40</x:v>
      </x:c>
      <x:c r="H26" s="48" t="str">
        <x:v>メラノソームは非常に小さく（直径サブミクロン〜数ミクロン）、**TRTはナノ秒〜サブマイクロ秒オーダー**と極めて短い（要確認）。**Qスイッチ（ns）やピコ秒（ps）のパルス幅は、このTRTと同等かそれより短い**。その結果起きるのは、単純な「加熱→凝固」ではありません。</x:v>
      </x:c>
      <x:c r="I26" s="48" t="str">
        <x:v>数値・頻度</x:v>
      </x:c>
      <x:c r="J26" s="48" t="str">
        <x:v>一次文献で数値と条件を確認し、幅・対象・測定条件を併記する。固定値にできない場合は定性的表現へ戻す。</x:v>
      </x:c>
      <x:c r="K26" s="48" t="str">
        <x:v>本文/第38章_色素レーザー.md</x:v>
      </x:c>
      <x:c r="L26" s="30" t="str">
        <x:v>https://yucalyptus.github.io/biyou-cell-textbook/ch38.html</x:v>
      </x:c>
    </x:row>
    <x:row r="27" ht="100" customHeight="1">
      <x:c r="A27" s="90" t="str">
        <x:v>Q023</x:v>
      </x:c>
      <x:c r="B27" s="58" t="str">
        <x:v>中</x:v>
      </x:c>
      <x:c r="C27" s="99" t="str">
        <x:v>未対応</x:v>
      </x:c>
      <x:c r="D27" s="99" t="str">
        <x:v>第38章</x:v>
      </x:c>
      <x:c r="E27" s="99" t="str">
        <x:v>Qスイッチ・ピコ秒レーザー ― メラニンを狙う光機械的破砕</x:v>
      </x:c>
      <x:c r="F27" s="99" t="str">
        <x:v>Evidence meter</x:v>
      </x:c>
      <x:c r="G27" s="99" t="n">
        <x:v>88</x:v>
      </x:c>
      <x:c r="H27" s="48" t="str">
        <x:v>- メラノソームのTRTがナノ秒〜サブマイクロ秒オーダー：**確立した生物物理学（詳細な数値は要確認）**</x:v>
      </x:c>
      <x:c r="I27" s="48" t="str">
        <x:v>数値・頻度</x:v>
      </x:c>
      <x:c r="J27" s="48" t="str">
        <x:v>一次文献で数値と条件を確認し、幅・対象・測定条件を併記する。固定値にできない場合は定性的表現へ戻す。</x:v>
      </x:c>
      <x:c r="K27" s="48" t="str">
        <x:v>本文/第38章_色素レーザー.md</x:v>
      </x:c>
      <x:c r="L27" s="30" t="str">
        <x:v>https://yucalyptus.github.io/biyou-cell-textbook/ch38.html</x:v>
      </x:c>
    </x:row>
    <x:row r="28" ht="100" customHeight="1">
      <x:c r="A28" s="90" t="str">
        <x:v>Q024</x:v>
      </x:c>
      <x:c r="B28" s="58" t="str">
        <x:v>中</x:v>
      </x:c>
      <x:c r="C28" s="99" t="str">
        <x:v>未対応</x:v>
      </x:c>
      <x:c r="D28" s="99" t="str">
        <x:v>第38章</x:v>
      </x:c>
      <x:c r="E28" s="99" t="str">
        <x:v>Qスイッチ・ピコ秒レーザー ― メラニンを狙う光機械的破砕</x:v>
      </x:c>
      <x:c r="F28" s="99" t="str">
        <x:v>中核参考文献</x:v>
      </x:c>
      <x:c r="G28" s="99" t="n">
        <x:v>99</x:v>
      </x:c>
      <x:c r="H28" s="48" t="str">
        <x:v>- Anderson RR, Margolis RJ, Watanabe S, et al. Selective photothermolysis of cutaneous pigmentation by Q-switched Nd:YAG laser pulses at 1064, 532, and 355 nm. *J Invest Dermatol.* 1989;93(1):28-32. PMID: 2746004.（メラニン/メラノソームの選択的光熱融解）※サブns〜ピコ秒域での「光機械的（応力緩和）破砕」を直接実証した一次文献はなお要確認。</x:v>
      </x:c>
      <x:c r="I28" s="48" t="str">
        <x:v>書誌照合</x:v>
      </x:c>
      <x:c r="J28" s="48" t="str">
        <x:v>PubMed・出版社ページ・一次文献で書誌を照合し、PMID/DOIを確定する。照合できない引用は本文の根拠として使わない。</x:v>
      </x:c>
      <x:c r="K28" s="48" t="str">
        <x:v>本文/第38章_色素レーザー.md</x:v>
      </x:c>
      <x:c r="L28" s="30" t="str">
        <x:v>https://yucalyptus.github.io/biyou-cell-textbook/ch38.html</x:v>
      </x:c>
    </x:row>
    <x:row r="29" ht="100" customHeight="1">
      <x:c r="A29" s="90" t="str">
        <x:v>Q025</x:v>
      </x:c>
      <x:c r="B29" s="58" t="str">
        <x:v>中</x:v>
      </x:c>
      <x:c r="C29" s="99" t="str">
        <x:v>未対応</x:v>
      </x:c>
      <x:c r="D29" s="99" t="str">
        <x:v>第40章</x:v>
      </x:c>
      <x:c r="E29" s="99" t="str">
        <x:v>PBM・LEDの生化学（photobiomodulation／LED・低出力レーザー）</x:v>
      </x:c>
      <x:c r="F29" s="99" t="str">
        <x:v>3　その先で動くもの：軽度ROSと retrograde signaling</x:v>
      </x:c>
      <x:c r="G29" s="99" t="n">
        <x:v>62</x:v>
      </x:c>
      <x:c r="H29" s="48" t="str">
        <x:v>&gt; **"第二の受容体"問題（要確認）**：CcO以外にも光を受ける候補として、**opsin（光受容タンパク質）や TRP channel（熱・光感受性のイオンチャネル）**の関与が提唱されています。**皮膚のPBM効果にどれだけ寄与するかは未確定**です。この章では「CcO＝主流」「opsin/TRP＝有望だが仮説」と切り分けます。</x:v>
      </x:c>
      <x:c r="I29" s="48" t="str">
        <x:v>内容確認</x:v>
      </x:c>
      <x:c r="J29" s="48" t="str">
        <x:v>対応する一次文献を確認し、確立事項・外挿・未確立を分けて記述する。公開版の『要確認』は、根拠を確定するか留保文へ置き換える。</x:v>
      </x:c>
      <x:c r="K29" s="48" t="str">
        <x:v>本文/第40章_PBM・LEDの生化学.md</x:v>
      </x:c>
      <x:c r="L29" s="30" t="str">
        <x:v>https://yucalyptus.github.io/biyou-cell-textbook/ch40.html</x:v>
      </x:c>
    </x:row>
    <x:row r="30" ht="100" customHeight="1">
      <x:c r="A30" s="90" t="str">
        <x:v>Q026</x:v>
      </x:c>
      <x:c r="B30" s="58" t="str">
        <x:v>中</x:v>
      </x:c>
      <x:c r="C30" s="99" t="str">
        <x:v>未対応</x:v>
      </x:c>
      <x:c r="D30" s="99" t="str">
        <x:v>第40章</x:v>
      </x:c>
      <x:c r="E30" s="99" t="str">
        <x:v>PBM・LEDの生化学（photobiomodulation／LED・低出力レーザー）</x:v>
      </x:c>
      <x:c r="F30" s="99" t="str">
        <x:v>Evidence meter</x:v>
      </x:c>
      <x:c r="G30" s="99" t="n">
        <x:v>111</x:v>
      </x:c>
      <x:c r="H30" s="48" t="str">
        <x:v>- opsin/TRP など"第二の受容体"の関与：**未確立（有望な仮説・要確認）**</x:v>
      </x:c>
      <x:c r="I30" s="48" t="str">
        <x:v>内容確認</x:v>
      </x:c>
      <x:c r="J30" s="48" t="str">
        <x:v>対応する一次文献を確認し、確立事項・外挿・未確立を分けて記述する。公開版の『要確認』は、根拠を確定するか留保文へ置き換える。</x:v>
      </x:c>
      <x:c r="K30" s="48" t="str">
        <x:v>本文/第40章_PBM・LEDの生化学.md</x:v>
      </x:c>
      <x:c r="L30" s="30" t="str">
        <x:v>https://yucalyptus.github.io/biyou-cell-textbook/ch40.html</x:v>
      </x:c>
    </x:row>
    <x:row r="31" ht="100" customHeight="1">
      <x:c r="A31" s="90" t="str">
        <x:v>Q027</x:v>
      </x:c>
      <x:c r="B31" s="58" t="str">
        <x:v>中</x:v>
      </x:c>
      <x:c r="C31" s="99" t="str">
        <x:v>未対応</x:v>
      </x:c>
      <x:c r="D31" s="99" t="str">
        <x:v>第45章</x:v>
      </x:c>
      <x:c r="E31" s="99" t="str">
        <x:v>バイオスティミュレーター（PLLA・PDLLA・CaHA・PCL・PN/PDRN）</x:v>
      </x:c>
      <x:c r="F31" s="99" t="str">
        <x:v>2　素材で反応が変わる ―― CaHAの機械刺激、PLLA/PDLLAのマクロファージ極性</x:v>
      </x:c>
      <x:c r="G31" s="99" t="n">
        <x:v>38</x:v>
      </x:c>
      <x:c r="H31" s="48" t="str">
        <x:v>| **PDLLA**（poly-D,L-lactic acid） | PLLAの立体異性体混合型。非晶質で**加水分解がより速い** | 同上。**M2側への極性化と、Nrf2/HO-1 系の抗酸化応答**の関与が提案されている（**要確認**：報告は in vitro・動物中心） |</x:v>
      </x:c>
      <x:c r="I31" s="48" t="str">
        <x:v>内容確認</x:v>
      </x:c>
      <x:c r="J31" s="48" t="str">
        <x:v>対応する一次文献を確認し、確立事項・外挿・未確立を分けて記述する。公開版の『要確認』は、根拠を確定するか留保文へ置き換える。</x:v>
      </x:c>
      <x:c r="K31" s="48" t="str">
        <x:v>本文/第45章_バイオスティミュレーター.md</x:v>
      </x:c>
      <x:c r="L31" s="30" t="str">
        <x:v>https://yucalyptus.github.io/biyou-cell-textbook/ch45.html</x:v>
      </x:c>
    </x:row>
    <x:row r="32" ht="100" customHeight="1">
      <x:c r="A32" s="90" t="str">
        <x:v>Q028</x:v>
      </x:c>
      <x:c r="B32" s="58" t="str">
        <x:v>中</x:v>
      </x:c>
      <x:c r="C32" s="99" t="str">
        <x:v>未対応</x:v>
      </x:c>
      <x:c r="D32" s="99" t="str">
        <x:v>第45章</x:v>
      </x:c>
      <x:c r="E32" s="99" t="str">
        <x:v>バイオスティミュレーター（PLLA・PDLLA・CaHA・PCL・PN/PDRN）</x:v>
      </x:c>
      <x:c r="F32" s="99" t="str">
        <x:v>この章の到達点</x:v>
      </x:c>
      <x:c r="G32" s="99" t="n">
        <x:v>78</x:v>
      </x:c>
      <x:c r="H32" s="48" t="str">
        <x:v>3. **素材差は「刺激の種類・質・持続」の差**。**CaHA＝硬い微小球による線維芽細胞への機械刺激**（integrin–FAK、→ 第23章）、**PLLA・PDLLA＝分解速度の違いによるマクロファージ極性（M1/M2の振れ方）と、PDLLAではNrf2/HO-1関与の提案（要確認）**、**PCL＝分解が遅く刺激も残留も長い**。M1・M2は善玉悪玉の固定札ではない。</x:v>
      </x:c>
      <x:c r="I32" s="48" t="str">
        <x:v>内容確認</x:v>
      </x:c>
      <x:c r="J32" s="48" t="str">
        <x:v>対応する一次文献を確認し、確立事項・外挿・未確立を分けて記述する。公開版の『要確認』は、根拠を確定するか留保文へ置き換える。</x:v>
      </x:c>
      <x:c r="K32" s="48" t="str">
        <x:v>本文/第45章_バイオスティミュレーター.md</x:v>
      </x:c>
      <x:c r="L32" s="30" t="str">
        <x:v>https://yucalyptus.github.io/biyou-cell-textbook/ch45.html</x:v>
      </x:c>
    </x:row>
    <x:row r="33" ht="100" customHeight="1">
      <x:c r="A33" s="90" t="str">
        <x:v>Q029</x:v>
      </x:c>
      <x:c r="B33" s="58" t="str">
        <x:v>中</x:v>
      </x:c>
      <x:c r="C33" s="99" t="str">
        <x:v>未対応</x:v>
      </x:c>
      <x:c r="D33" s="99" t="str">
        <x:v>第45章</x:v>
      </x:c>
      <x:c r="E33" s="99" t="str">
        <x:v>バイオスティミュレーター（PLLA・PDLLA・CaHA・PCL・PN/PDRN）</x:v>
      </x:c>
      <x:c r="F33" s="99" t="str">
        <x:v>Evidence meter</x:v>
      </x:c>
      <x:c r="G33" s="99" t="n">
        <x:v>89</x:v>
      </x:c>
      <x:c r="H33" s="48" t="str">
        <x:v>- **PDLLAのM2極性化・Nrf2/HO-1関与**：**報告はin vitro・動物中心で確度が低い（要確認）**</x:v>
      </x:c>
      <x:c r="I33" s="48" t="str">
        <x:v>内容確認</x:v>
      </x:c>
      <x:c r="J33" s="48" t="str">
        <x:v>対応する一次文献を確認し、確立事項・外挿・未確立を分けて記述する。公開版の『要確認』は、根拠を確定するか留保文へ置き換える。</x:v>
      </x:c>
      <x:c r="K33" s="48" t="str">
        <x:v>本文/第45章_バイオスティミュレーター.md</x:v>
      </x:c>
      <x:c r="L33" s="30" t="str">
        <x:v>https://yucalyptus.github.io/biyou-cell-textbook/ch45.html</x:v>
      </x:c>
    </x:row>
    <x:row r="34" ht="100" customHeight="1">
      <x:c r="A34" s="90" t="str">
        <x:v>Q030</x:v>
      </x:c>
      <x:c r="B34" s="58" t="str">
        <x:v>中</x:v>
      </x:c>
      <x:c r="C34" s="99" t="str">
        <x:v>未対応</x:v>
      </x:c>
      <x:c r="D34" s="99" t="str">
        <x:v>第45章</x:v>
      </x:c>
      <x:c r="E34" s="99" t="str">
        <x:v>バイオスティミュレーター（PLLA・PDLLA・CaHA・PCL・PN/PDRN）</x:v>
      </x:c>
      <x:c r="F34" s="99" t="str">
        <x:v>中核参考文献</x:v>
      </x:c>
      <x:c r="G34" s="99" t="n">
        <x:v>98</x:v>
      </x:c>
      <x:c r="H34" s="48" t="str">
        <x:v>- CaHA微小球による線維芽細胞の伸展・整列とECM産生（組織学的検討）：総説・組織学研究が複数（**要確認**。著者・誌名・年の照合が必要）。</x:v>
      </x:c>
      <x:c r="I34" s="48" t="str">
        <x:v>書誌照合</x:v>
      </x:c>
      <x:c r="J34" s="48" t="str">
        <x:v>PubMed・出版社ページ・一次文献で書誌を照合し、PMID/DOIを確定する。照合できない引用は本文の根拠として使わない。</x:v>
      </x:c>
      <x:c r="K34" s="48" t="str">
        <x:v>本文/第45章_バイオスティミュレーター.md</x:v>
      </x:c>
      <x:c r="L34" s="30" t="str">
        <x:v>https://yucalyptus.github.io/biyou-cell-textbook/ch45.html</x:v>
      </x:c>
    </x:row>
    <x:row r="35" ht="100" customHeight="1">
      <x:c r="A35" s="90" t="str">
        <x:v>Q031</x:v>
      </x:c>
      <x:c r="B35" s="58" t="str">
        <x:v>中</x:v>
      </x:c>
      <x:c r="C35" s="99" t="str">
        <x:v>未対応</x:v>
      </x:c>
      <x:c r="D35" s="99" t="str">
        <x:v>第45章</x:v>
      </x:c>
      <x:c r="E35" s="99" t="str">
        <x:v>バイオスティミュレーター（PLLA・PDLLA・CaHA・PCL・PN/PDRN）</x:v>
      </x:c>
      <x:c r="F35" s="99" t="str">
        <x:v>中核参考文献</x:v>
      </x:c>
      <x:c r="G35" s="99" t="n">
        <x:v>99</x:v>
      </x:c>
      <x:c r="H35" s="48" t="str">
        <x:v>- PLLA/PDLLAのマクロファージ極性・Nrf2関与：in vitro・動物での報告（**要確認**。ヒトでの検証は限定的）。</x:v>
      </x:c>
      <x:c r="I35" s="48" t="str">
        <x:v>内容確認</x:v>
      </x:c>
      <x:c r="J35" s="48" t="str">
        <x:v>対応する一次文献を確認し、確立事項・外挿・未確立を分けて記述する。公開版の『要確認』は、根拠を確定するか留保文へ置き換える。</x:v>
      </x:c>
      <x:c r="K35" s="48" t="str">
        <x:v>本文/第45章_バイオスティミュレーター.md</x:v>
      </x:c>
      <x:c r="L35" s="30" t="str">
        <x:v>https://yucalyptus.github.io/biyou-cell-textbook/ch45.html</x:v>
      </x:c>
    </x:row>
    <x:row r="36" ht="100" customHeight="1">
      <x:c r="A36" s="90" t="str">
        <x:v>Q032</x:v>
      </x:c>
      <x:c r="B36" s="58" t="str">
        <x:v>中</x:v>
      </x:c>
      <x:c r="C36" s="99" t="str">
        <x:v>未対応</x:v>
      </x:c>
      <x:c r="D36" s="99" t="str">
        <x:v>第45章</x:v>
      </x:c>
      <x:c r="E36" s="99" t="str">
        <x:v>バイオスティミュレーター（PLLA・PDLLA・CaHA・PCL・PN/PDRN）</x:v>
      </x:c>
      <x:c r="F36" s="99" t="str">
        <x:v>中核参考文献</x:v>
      </x:c>
      <x:c r="G36" s="99" t="n">
        <x:v>100</x:v>
      </x:c>
      <x:c r="H36" s="48" t="str">
        <x:v>- PN/PDRNのアデノシンA2A受容体を介した作用：薬理総説（**要確認**）。</x:v>
      </x:c>
      <x:c r="I36" s="48" t="str">
        <x:v>内容確認</x:v>
      </x:c>
      <x:c r="J36" s="48" t="str">
        <x:v>対応する一次文献を確認し、確立事項・外挿・未確立を分けて記述する。公開版の『要確認』は、根拠を確定するか留保文へ置き換える。</x:v>
      </x:c>
      <x:c r="K36" s="48" t="str">
        <x:v>本文/第45章_バイオスティミュレーター.md</x:v>
      </x:c>
      <x:c r="L36" s="30" t="str">
        <x:v>https://yucalyptus.github.io/biyou-cell-textbook/ch45.html</x:v>
      </x:c>
    </x:row>
    <x:row r="37" ht="100" customHeight="1">
      <x:c r="A37" s="90" t="str">
        <x:v>Q033</x:v>
      </x:c>
      <x:c r="B37" s="58" t="str">
        <x:v>中</x:v>
      </x:c>
      <x:c r="C37" s="99" t="str">
        <x:v>未対応</x:v>
      </x:c>
      <x:c r="D37" s="99" t="str">
        <x:v>第46章</x:v>
      </x:c>
      <x:c r="E37" s="99" t="str">
        <x:v>メラノサイトと色素形成 ―― しみの細胞生物学</x:v>
      </x:c>
      <x:c r="F37" s="99" t="str">
        <x:v>中核参考文献（総説中心。PMID/DOIは最終照合を要する項目を含む＝要確認と明記）</x:v>
      </x:c>
      <x:c r="G37" s="99" t="n">
        <x:v>133</x:v>
      </x:c>
      <x:c r="H37" s="48" t="str">
        <x:v>### 中核参考文献（総説中心。PMID/DOIは最終照合を要する項目を含む＝要確認と明記）</x:v>
      </x:c>
      <x:c r="I37" s="48" t="str">
        <x:v>書誌照合</x:v>
      </x:c>
      <x:c r="J37" s="48" t="str">
        <x:v>PubMed・出版社ページ・一次文献で書誌を照合し、PMID/DOIを確定する。照合できない引用は本文の根拠として使わない。</x:v>
      </x:c>
      <x:c r="K37" s="48" t="str">
        <x:v>本文/第46章_メラノサイトと色素形成.md</x:v>
      </x:c>
      <x:c r="L37" s="30" t="str">
        <x:v>https://yucalyptus.github.io/biyou-cell-textbook/ch46.html</x:v>
      </x:c>
    </x:row>
    <x:row r="38" ht="100" customHeight="1">
      <x:c r="A38" s="90" t="str">
        <x:v>Q034</x:v>
      </x:c>
      <x:c r="B38" s="55" t="str">
        <x:v>高</x:v>
      </x:c>
      <x:c r="C38" s="99" t="str">
        <x:v>未対応</x:v>
      </x:c>
      <x:c r="D38" s="99" t="str">
        <x:v>第47章</x:v>
      </x:c>
      <x:c r="E38" s="99" t="str">
        <x:v>美白外用の生化学（hydroquinone・tranexamic acid・vitamin C ほか）</x:v>
      </x:c>
      <x:c r="F38" s="99" t="str">
        <x:v>② tyrosinase の活性を落とす</x:v>
      </x:c>
      <x:c r="G38" s="99" t="n">
        <x:v>62</x:v>
      </x:c>
      <x:c r="H38" s="48" t="str">
        <x:v>- **hydroquinone（HQ）**：フェノール骨格が tyrosine に似るため**競合阻害**として働く。加えて**メラノサイトそのものへの細胞毒性**（メラノソーム構造の障害、酵素の酸化的分解）を持ち、効果の強さもリスクの重さもこの二重性から来ます。**長期・高濃度で exogenous ochronosis（外因性黒皮症）**＝逆説的な青灰色の色素沈着が知られ、刺激性接触皮膚炎も起こりえます。規制・上限濃度は地域と時期で変わるため要確認（本書では濃度・使用法は示しません）。</x:v>
      </x:c>
      <x:c r="I38" s="48" t="str">
        <x:v>規制・適応</x:v>
      </x:c>
      <x:c r="J38" s="48" t="str">
        <x:v>最新の公的文書・添付文書で、国・確認日・適応範囲を照合して明記する。変わり得る情報には最終更新日を付ける。</x:v>
      </x:c>
      <x:c r="K38" s="48" t="str">
        <x:v>本文/第47章_美白外用の生化学.md</x:v>
      </x:c>
      <x:c r="L38" s="30" t="str">
        <x:v>https://yucalyptus.github.io/biyou-cell-textbook/ch47.html</x:v>
      </x:c>
    </x:row>
    <x:row r="39" ht="100" customHeight="1">
      <x:c r="A39" s="90" t="str">
        <x:v>Q035</x:v>
      </x:c>
      <x:c r="B39" s="58" t="str">
        <x:v>中</x:v>
      </x:c>
      <x:c r="C39" s="99" t="str">
        <x:v>未対応</x:v>
      </x:c>
      <x:c r="D39" s="99" t="str">
        <x:v>第47章</x:v>
      </x:c>
      <x:c r="E39" s="99" t="str">
        <x:v>美白外用の生化学（hydroquinone・tranexamic acid・vitamin C ほか）</x:v>
      </x:c>
      <x:c r="F39" s="99" t="str">
        <x:v>中核参考文献（※PMID/DOIは要照合の項目を含む）</x:v>
      </x:c>
      <x:c r="G39" s="99" t="n">
        <x:v>148</x:v>
      </x:c>
      <x:c r="H39" s="48" t="str">
        <x:v>- **経口TXAの臨床**：システマティックレビュー/メタ解析が複数（著者・誌名は**要確認**）。</x:v>
      </x:c>
      <x:c r="I39" s="48" t="str">
        <x:v>書誌照合</x:v>
      </x:c>
      <x:c r="J39" s="48" t="str">
        <x:v>PubMed・出版社ページ・一次文献で書誌を照合し、PMID/DOIを確定する。照合できない引用は本文の根拠として使わない。</x:v>
      </x:c>
      <x:c r="K39" s="48" t="str">
        <x:v>本文/第47章_美白外用の生化学.md</x:v>
      </x:c>
      <x:c r="L39" s="30" t="str">
        <x:v>https://yucalyptus.github.io/biyou-cell-textbook/ch47.html</x:v>
      </x:c>
    </x:row>
    <x:row r="40" ht="100" customHeight="1">
      <x:c r="A40" s="90" t="str">
        <x:v>Q036</x:v>
      </x:c>
      <x:c r="B40" s="58" t="str">
        <x:v>中</x:v>
      </x:c>
      <x:c r="C40" s="99" t="str">
        <x:v>未対応</x:v>
      </x:c>
      <x:c r="D40" s="99" t="str">
        <x:v>第47章</x:v>
      </x:c>
      <x:c r="E40" s="99" t="str">
        <x:v>美白外用の生化学（hydroquinone・tranexamic acid・vitamin C ほか）</x:v>
      </x:c>
      <x:c r="F40" s="99" t="str">
        <x:v>中核参考文献（※PMID/DOIは要照合の項目を含む）</x:v>
      </x:c>
      <x:c r="G40" s="99" t="n">
        <x:v>152</x:v>
      </x:c>
      <x:c r="H40" s="48" t="str">
        <x:v>- **HQとexogenous ochronosis**：総説・症例集積が複数（**要確認**。頻度の断定は避ける）。／メラノジェネシス経路そのものの文献は第46章に集約。</x:v>
      </x:c>
      <x:c r="I40" s="48" t="str">
        <x:v>数値・頻度</x:v>
      </x:c>
      <x:c r="J40" s="48" t="str">
        <x:v>一次文献で数値と条件を確認し、幅・対象・測定条件を併記する。固定値にできない場合は定性的表現へ戻す。</x:v>
      </x:c>
      <x:c r="K40" s="48" t="str">
        <x:v>本文/第47章_美白外用の生化学.md</x:v>
      </x:c>
      <x:c r="L40" s="30" t="str">
        <x:v>https://yucalyptus.github.io/biyou-cell-textbook/ch47.html</x:v>
      </x:c>
    </x:row>
    <x:row r="41" ht="100" customHeight="1">
      <x:c r="A41" s="90" t="str">
        <x:v>Q037</x:v>
      </x:c>
      <x:c r="B41" s="58" t="str">
        <x:v>中</x:v>
      </x:c>
      <x:c r="C41" s="99" t="str">
        <x:v>未対応</x:v>
      </x:c>
      <x:c r="D41" s="99" t="str">
        <x:v>第49章</x:v>
      </x:c>
      <x:c r="E41" s="99" t="str">
        <x:v>脂肪</x:v>
      </x:c>
      <x:c r="F41" s="99" t="str">
        <x:v>中核参考文献</x:v>
      </x:c>
      <x:c r="G41" s="99" t="n">
        <x:v>138</x:v>
      </x:c>
      <x:c r="H41" s="48" t="str">
        <x:v>- Rohrich RJ, Pessa JE. The fat compartments of the face: anatomy and clinical implications for cosmetic surgery. *Plast Reconstr Surg.* 2007;119(7):2219-2227.（顔面脂肪コンパートメントの原著。PMID/DOI は要確認）</x:v>
      </x:c>
      <x:c r="I41" s="48" t="str">
        <x:v>書誌照合</x:v>
      </x:c>
      <x:c r="J41" s="48" t="str">
        <x:v>PubMed・出版社ページ・一次文献で書誌を照合し、PMID/DOIを確定する。照合できない引用は本文の根拠として使わない。</x:v>
      </x:c>
      <x:c r="K41" s="48" t="str">
        <x:v>本文/第49章_脂肪.md</x:v>
      </x:c>
      <x:c r="L41" s="30" t="str">
        <x:v>https://yucalyptus.github.io/biyou-cell-textbook/ch49.html</x:v>
      </x:c>
    </x:row>
    <x:row r="42" ht="100" customHeight="1">
      <x:c r="A42" s="90" t="str">
        <x:v>Q038</x:v>
      </x:c>
      <x:c r="B42" s="58" t="str">
        <x:v>中</x:v>
      </x:c>
      <x:c r="C42" s="99" t="str">
        <x:v>未対応</x:v>
      </x:c>
      <x:c r="D42" s="99" t="str">
        <x:v>第50章</x:v>
      </x:c>
      <x:c r="E42" s="99" t="str">
        <x:v>皮脂分泌の生化学 ―― なぜ皮脂腺は抑えにくいのか</x:v>
      </x:c>
      <x:c r="F42" s="99" t="str">
        <x:v>1　皮脂は「細胞がまるごと壊れて」出る</x:v>
      </x:c>
      <x:c r="G42" s="99" t="n">
        <x:v>18</x:v>
      </x:c>
      <x:c r="H42" s="48" t="str">
        <x:v>**分泌が細胞の消費と同義**である点が、ほかの分泌腺と決定的に違います。皮脂が出るたびに sebocyte は1個ずつ失われ、腺は基底層の増殖でそれを補充し続けなければ形を保てません。基底で分裂してから崩壊までは週単位とされます（日数は報告により幅があり、要確認）。</x:v>
      </x:c>
      <x:c r="I42" s="48" t="str">
        <x:v>数値・頻度</x:v>
      </x:c>
      <x:c r="J42" s="48" t="str">
        <x:v>一次文献で数値と条件を確認し、幅・対象・測定条件を併記する。固定値にできない場合は定性的表現へ戻す。</x:v>
      </x:c>
      <x:c r="K42" s="48" t="str">
        <x:v>本文/第50章_皮脂分泌の生化学.md</x:v>
      </x:c>
      <x:c r="L42" s="30" t="str">
        <x:v>https://yucalyptus.github.io/biyou-cell-textbook/ch50.html</x:v>
      </x:c>
    </x:row>
    <x:row r="43" ht="100" customHeight="1">
      <x:c r="A43" s="90" t="str">
        <x:v>Q039</x:v>
      </x:c>
      <x:c r="B43" s="58" t="str">
        <x:v>中</x:v>
      </x:c>
      <x:c r="C43" s="99" t="str">
        <x:v>未対応</x:v>
      </x:c>
      <x:c r="D43" s="99" t="str">
        <x:v>第50章</x:v>
      </x:c>
      <x:c r="E43" s="99" t="str">
        <x:v>皮脂分泌の生化学 ―― なぜ皮脂腺は抑えにくいのか</x:v>
      </x:c>
      <x:c r="F43" s="99" t="str">
        <x:v>3　出た皮脂は、量だけでなく質が変わる</x:v>
      </x:c>
      <x:c r="G43" s="99" t="n">
        <x:v>52</x:v>
      </x:c>
      <x:c r="H43" s="48" t="str">
        <x:v>この組成も holocrine の帰結です。細胞がまるごと出るので、sebocyte が合成した squalene・wax esters に、膜由来の cholesterol が混じります。squalene と wax esters がヒト皮脂に特徴的なのは、この二つが実質 sebocyte でしか作られないからです（各分画の割合はまとめ図のとおり幅があり、単一の点推定は置きません＝要確認）。</x:v>
      </x:c>
      <x:c r="I43" s="48" t="str">
        <x:v>数値・頻度</x:v>
      </x:c>
      <x:c r="J43" s="48" t="str">
        <x:v>一次文献で数値と条件を確認し、幅・対象・測定条件を併記する。固定値にできない場合は定性的表現へ戻す。</x:v>
      </x:c>
      <x:c r="K43" s="48" t="str">
        <x:v>本文/第50章_皮脂分泌の生化学.md</x:v>
      </x:c>
      <x:c r="L43" s="30" t="str">
        <x:v>https://yucalyptus.github.io/biyou-cell-textbook/ch50.html</x:v>
      </x:c>
    </x:row>
    <x:row r="44" ht="100" customHeight="1">
      <x:c r="A44" s="90" t="str">
        <x:v>Q040</x:v>
      </x:c>
      <x:c r="B44" s="58" t="str">
        <x:v>中</x:v>
      </x:c>
      <x:c r="C44" s="99" t="str">
        <x:v>未対応</x:v>
      </x:c>
      <x:c r="D44" s="99" t="str">
        <x:v>第50章</x:v>
      </x:c>
      <x:c r="E44" s="99" t="str">
        <x:v>皮脂分泌の生化学 ―― なぜ皮脂腺は抑えにくいのか</x:v>
      </x:c>
      <x:c r="F44" s="99" t="str">
        <x:v>中核参考文献</x:v>
      </x:c>
      <x:c r="G44" s="99" t="n">
        <x:v>126</x:v>
      </x:c>
      <x:c r="H44" s="48" t="str">
        <x:v>&gt; 皮脂の各脂質分画の割合（squalene 約12%、wax esters 約25% など流布する数値）は総説本文の表に由来し、一次データの実見が済んでいないため本文に数値として置いていません（**要確認**）。</x:v>
      </x:c>
      <x:c r="I44" s="48" t="str">
        <x:v>数値・頻度</x:v>
      </x:c>
      <x:c r="J44" s="48" t="str">
        <x:v>一次文献で数値と条件を確認し、幅・対象・測定条件を併記する。固定値にできない場合は定性的表現へ戻す。</x:v>
      </x:c>
      <x:c r="K44" s="48" t="str">
        <x:v>本文/第50章_皮脂分泌の生化学.md</x:v>
      </x:c>
      <x:c r="L44" s="30" t="str">
        <x:v>https://yucalyptus.github.io/biyou-cell-textbook/ch50.html</x:v>
      </x:c>
    </x:row>
    <x:row r="45" ht="100" customHeight="1">
      <x:c r="A45" s="90" t="str">
        <x:v>Q041</x:v>
      </x:c>
      <x:c r="B45" s="58" t="str">
        <x:v>中</x:v>
      </x:c>
      <x:c r="C45" s="99" t="str">
        <x:v>未対応</x:v>
      </x:c>
      <x:c r="D45" s="99" t="str">
        <x:v>第51章</x:v>
      </x:c>
      <x:c r="E45" s="99" t="str">
        <x:v>脂肪を減らす治療（cryolipolysis とデオキシコール酸）</x:v>
      </x:c>
      <x:c r="F45" s="99" t="str">
        <x:v>2　製剤の変遷 ―― なぜ PC が要らなくなったのか</x:v>
      </x:c>
      <x:c r="G45" s="99" t="n">
        <x:v>42</x:v>
      </x:c>
      <x:c r="H45" s="48" t="str">
        <x:v>これをひっくり返したのが Rotunda らの検討です。製剤に含まれる deoxycholate 単独で、製剤全体と同等の細胞融解が起きる——**膜を壊していたのは DC 側だった**（PMID: 15209790）。PC 単独の膜傷害作用がどの程度あるかは文献間で評価が分かれます（要確認）。</x:v>
      </x:c>
      <x:c r="I45" s="48" t="str">
        <x:v>書誌照合</x:v>
      </x:c>
      <x:c r="J45" s="48" t="str">
        <x:v>PubMed・出版社ページ・一次文献で書誌を照合し、PMID/DOIを確定する。照合できない引用は本文の根拠として使わない。</x:v>
      </x:c>
      <x:c r="K45" s="48" t="str">
        <x:v>本文/第51章_脂肪を減らす治療.md</x:v>
      </x:c>
      <x:c r="L45" s="30" t="str">
        <x:v>https://yucalyptus.github.io/biyou-cell-textbook/ch51.html</x:v>
      </x:c>
    </x:row>
    <x:row r="46" ht="100" customHeight="1">
      <x:c r="A46" s="90" t="str">
        <x:v>Q042</x:v>
      </x:c>
      <x:c r="B46" s="55" t="str">
        <x:v>高</x:v>
      </x:c>
      <x:c r="C46" s="99" t="str">
        <x:v>未対応</x:v>
      </x:c>
      <x:c r="D46" s="99" t="str">
        <x:v>第51章</x:v>
      </x:c>
      <x:c r="E46" s="99" t="str">
        <x:v>脂肪を減らす治療（cryolipolysis とデオキシコール酸）</x:v>
      </x:c>
      <x:c r="F46" s="99" t="str">
        <x:v>2　製剤の変遷 ―― なぜ PC が要らなくなったのか</x:v>
      </x:c>
      <x:c r="G46" s="99" t="n">
        <x:v>46</x:v>
      </x:c>
      <x:c r="H46" s="48" t="str">
        <x:v>&gt; **PCDC と ATX-101 を同一視しない。** 旧来の PCDC は地域によっては医薬品としての承認を経ずに使われてきた経緯があり、製剤ごとの組成・品質のばらつきが指摘されています（要確認）。機序としての adipocytolysis は共通でも、エビデンスの質と規制上の位置づけが違います。</x:v>
      </x:c>
      <x:c r="I46" s="48" t="str">
        <x:v>規制・適応</x:v>
      </x:c>
      <x:c r="J46" s="48" t="str">
        <x:v>最新の公的文書・添付文書で、国・確認日・適応範囲を照合して明記する。変わり得る情報には最終更新日を付ける。</x:v>
      </x:c>
      <x:c r="K46" s="48" t="str">
        <x:v>本文/第51章_脂肪を減らす治療.md</x:v>
      </x:c>
      <x:c r="L46" s="30" t="str">
        <x:v>https://yucalyptus.github.io/biyou-cell-textbook/ch51.html</x:v>
      </x:c>
    </x:row>
    <x:row r="47" ht="100" customHeight="1">
      <x:c r="A47" s="90" t="str">
        <x:v>Q043</x:v>
      </x:c>
      <x:c r="B47" s="58" t="str">
        <x:v>中</x:v>
      </x:c>
      <x:c r="C47" s="99" t="str">
        <x:v>未対応</x:v>
      </x:c>
      <x:c r="D47" s="99" t="str">
        <x:v>第51章</x:v>
      </x:c>
      <x:c r="E47" s="99" t="str">
        <x:v>脂肪を減らす治療（cryolipolysis とデオキシコール酸）</x:v>
      </x:c>
      <x:c r="F47" s="99" t="str">
        <x:v>この章の到達点</x:v>
      </x:c>
      <x:c r="G47" s="99" t="n">
        <x:v>132</x:v>
      </x:c>
      <x:c r="H47" s="48" t="str">
        <x:v>2. **PCDC から ATX-101 への変遷の理由は、膜を壊していたのが DC 側だったから**（PC はもともと DC を可溶化剤として必要としていた側）。PC 単独の寄与は要確認。PCDC と ATX-101 を同一視しない。</x:v>
      </x:c>
      <x:c r="I47" s="48" t="str">
        <x:v>内容確認</x:v>
      </x:c>
      <x:c r="J47" s="48" t="str">
        <x:v>対応する一次文献を確認し、確立事項・外挿・未確立を分けて記述する。公開版の『要確認』は、根拠を確定するか留保文へ置き換える。</x:v>
      </x:c>
      <x:c r="K47" s="48" t="str">
        <x:v>本文/第51章_脂肪を減らす治療.md</x:v>
      </x:c>
      <x:c r="L47" s="30" t="str">
        <x:v>https://yucalyptus.github.io/biyou-cell-textbook/ch51.html</x:v>
      </x:c>
    </x:row>
    <x:row r="48" ht="100" customHeight="1">
      <x:c r="A48" s="90" t="str">
        <x:v>Q044</x:v>
      </x:c>
      <x:c r="B48" s="58" t="str">
        <x:v>中</x:v>
      </x:c>
      <x:c r="C48" s="99" t="str">
        <x:v>未対応</x:v>
      </x:c>
      <x:c r="D48" s="99" t="str">
        <x:v>第51章</x:v>
      </x:c>
      <x:c r="E48" s="99" t="str">
        <x:v>脂肪を減らす治療（cryolipolysis とデオキシコール酸）</x:v>
      </x:c>
      <x:c r="F48" s="99" t="str">
        <x:v>Evidence meter</x:v>
      </x:c>
      <x:c r="G48" s="99" t="n">
        <x:v>144</x:v>
      </x:c>
      <x:c r="H48" s="48" t="str">
        <x:v>- PCDC 製剤の脂肪溶解作用が主として deoxycholate 側に由来する：**確立した細胞生物学（in vitro／ex vivo）／PC 自体の寄与の大きさは製剤ごとに検証が必要・要確認**</x:v>
      </x:c>
      <x:c r="I48" s="48" t="str">
        <x:v>内容確認</x:v>
      </x:c>
      <x:c r="J48" s="48" t="str">
        <x:v>対応する一次文献を確認し、確立事項・外挿・未確立を分けて記述する。公開版の『要確認』は、根拠を確定するか留保文へ置き換える。</x:v>
      </x:c>
      <x:c r="K48" s="48" t="str">
        <x:v>本文/第51章_脂肪を減らす治療.md</x:v>
      </x:c>
      <x:c r="L48" s="30" t="str">
        <x:v>https://yucalyptus.github.io/biyou-cell-textbook/ch51.html</x:v>
      </x:c>
    </x:row>
    <x:row r="49" ht="100" customHeight="1">
      <x:c r="A49" s="90" t="str">
        <x:v>Q045</x:v>
      </x:c>
      <x:c r="B49" s="55" t="str">
        <x:v>高</x:v>
      </x:c>
      <x:c r="C49" s="99" t="str">
        <x:v>未対応</x:v>
      </x:c>
      <x:c r="D49" s="99" t="str">
        <x:v>第51章</x:v>
      </x:c>
      <x:c r="E49" s="99" t="str">
        <x:v>脂肪を減らす治療（cryolipolysis とデオキシコール酸）</x:v>
      </x:c>
      <x:c r="F49" s="99" t="str">
        <x:v>中核参考文献</x:v>
      </x:c>
      <x:c r="G49" s="99" t="n">
        <x:v>162</x:v>
      </x:c>
      <x:c r="H49" s="48" t="str">
        <x:v>- 辺縁下顎神経障害等の個別合併症の症例報告・レビューは複数存在し、本章では特定の1本を確定せず「要確認」とする。</x:v>
      </x:c>
      <x:c r="I49" s="48" t="str">
        <x:v>安全性・臨床運用</x:v>
      </x:c>
      <x:c r="J49" s="48" t="str">
        <x:v>最新ガイドライン・添付文書・一次文献で確認し、対象・条件・不確実性を明記する。公開版では未照合のまま断定しない。</x:v>
      </x:c>
      <x:c r="K49" s="48" t="str">
        <x:v>本文/第51章_脂肪を減らす治療.md</x:v>
      </x:c>
      <x:c r="L49" s="30" t="str">
        <x:v>https://yucalyptus.github.io/biyou-cell-textbook/ch51.html</x:v>
      </x:c>
    </x:row>
    <x:row r="50" ht="100" customHeight="1">
      <x:c r="A50" s="90" t="str">
        <x:v>Q046</x:v>
      </x:c>
      <x:c r="B50" s="58" t="str">
        <x:v>中</x:v>
      </x:c>
      <x:c r="C50" s="99" t="str">
        <x:v>未対応</x:v>
      </x:c>
      <x:c r="D50" s="99" t="str">
        <x:v>第52章</x:v>
      </x:c>
      <x:c r="E50" s="99" t="str">
        <x:v>筋肉（myocyteと電磁刺激）</x:v>
      </x:c>
      <x:c r="F50" s="99" t="str">
        <x:v>4　機器 ―― 収縮を作る側と、機械刺激を入れる側</x:v>
      </x:c>
      <x:c r="G50" s="99" t="n">
        <x:v>81</x:v>
      </x:c>
      <x:c r="H50" s="48" t="str">
        <x:v>経皮的に電流または電磁場を与え、表情筋を反復収縮させる機器群です。**刺激様式（電流か磁場か）・周波数・出力・到達深度は製品ごとに異なり、機種名から機序を推定できません**（個々の仕様は添付資料で確認。要確認）。顔面では標的が小さく浅く、**体幹の HIFEM データをそのまま外挿できない**——これが顔面用機器を読むときの最初の注意点です。</x:v>
      </x:c>
      <x:c r="I50" s="48" t="str">
        <x:v>内容確認</x:v>
      </x:c>
      <x:c r="J50" s="48" t="str">
        <x:v>対応する一次文献を確認し、確立事項・外挿・未確立を分けて記述する。公開版の『要確認』は、根拠を確定するか留保文へ置き換える。</x:v>
      </x:c>
      <x:c r="K50" s="48" t="str">
        <x:v>本文/第52章_筋肉.md</x:v>
      </x:c>
      <x:c r="L50" s="30" t="str">
        <x:v>https://yucalyptus.github.io/biyou-cell-textbook/ch52.html</x:v>
      </x:c>
    </x:row>
    <x:row r="51" ht="100" customHeight="1">
      <x:c r="A51" s="90" t="str">
        <x:v>Q047</x:v>
      </x:c>
      <x:c r="B51" s="55" t="str">
        <x:v>高</x:v>
      </x:c>
      <x:c r="C51" s="99" t="str">
        <x:v>未対応</x:v>
      </x:c>
      <x:c r="D51" s="99" t="str">
        <x:v>第52章</x:v>
      </x:c>
      <x:c r="E51" s="99" t="str">
        <x:v>筋肉（myocyteと電磁刺激）</x:v>
      </x:c>
      <x:c r="F51" s="99" t="str">
        <x:v>中核参考文献</x:v>
      </x:c>
      <x:c r="G51" s="99" t="n">
        <x:v>123</x:v>
      </x:c>
      <x:c r="H51" s="48" t="str">
        <x:v>- HIFEM 機器の画像評価研究・体外衝撃波の美容適応の総説は複数あるが、独立性と規模に幅があるため、本章では特定の1本を確定せず「要確認」とする。</x:v>
      </x:c>
      <x:c r="I51" s="48" t="str">
        <x:v>規制・適応</x:v>
      </x:c>
      <x:c r="J51" s="48" t="str">
        <x:v>最新の公的文書・添付文書で、国・確認日・適応範囲を照合して明記する。変わり得る情報には最終更新日を付ける。</x:v>
      </x:c>
      <x:c r="K51" s="48" t="str">
        <x:v>本文/第52章_筋肉.md</x:v>
      </x:c>
      <x:c r="L51" s="30" t="str">
        <x:v>https://yucalyptus.github.io/biyou-cell-textbook/ch52.html</x:v>
      </x:c>
    </x:row>
    <x:row r="52" ht="100" customHeight="1">
      <x:c r="A52" s="90" t="str">
        <x:v>Q048</x:v>
      </x:c>
      <x:c r="B52" s="58" t="str">
        <x:v>中</x:v>
      </x:c>
      <x:c r="C52" s="99" t="str">
        <x:v>未対応</x:v>
      </x:c>
      <x:c r="D52" s="99" t="str">
        <x:v>第53章</x:v>
      </x:c>
      <x:c r="E52" s="99" t="str">
        <x:v>ボツリヌストキシンの生化学（botulinum toxin, BoNT）</x:v>
      </x:c>
      <x:c r="F52" s="99" t="str">
        <x:v>2　単位は製剤間で換算できない</x:v>
      </x:c>
      <x:c r="G52" s="99" t="n">
        <x:v>46</x:v>
      </x:c>
      <x:c r="H52" s="48" t="str">
        <x:v>単位は**タンパク質量とも一致しません**。同じ単位数に含まれるneurotoxinタンパク質の絶対量（ng）は製剤で異なり、複合体タンパクや、活性を失った変性トキシンを含めた**総タンパク量（protein load）**はさらに差が開きます。臨床で効くのは単位（＝生物活性）、免疫が見ているのは総タンパク量。**この二つは別の物差しで、後者が§4につながります**（定量値は製剤・ロットで幅があり、要確認）。</x:v>
      </x:c>
      <x:c r="I52" s="48" t="str">
        <x:v>内容確認</x:v>
      </x:c>
      <x:c r="J52" s="48" t="str">
        <x:v>対応する一次文献を確認し、確立事項・外挿・未確立を分けて記述する。公開版の『要確認』は、根拠を確定するか留保文へ置き換える。</x:v>
      </x:c>
      <x:c r="K52" s="48" t="str">
        <x:v>本文/第53章_ボツリヌストキシンの生化学.md</x:v>
      </x:c>
      <x:c r="L52" s="30" t="str">
        <x:v>https://yucalyptus.github.io/biyou-cell-textbook/ch53.html</x:v>
      </x:c>
    </x:row>
    <x:row r="53" ht="100" customHeight="1">
      <x:c r="A53" s="90" t="str">
        <x:v>Q049</x:v>
      </x:c>
      <x:c r="B53" s="55" t="str">
        <x:v>高</x:v>
      </x:c>
      <x:c r="C53" s="99" t="str">
        <x:v>未対応</x:v>
      </x:c>
      <x:c r="D53" s="99" t="str">
        <x:v>第53章</x:v>
      </x:c>
      <x:c r="E53" s="99" t="str">
        <x:v>ボツリヌストキシンの生化学（botulinum toxin, BoNT）</x:v>
      </x:c>
      <x:c r="F53" s="99" t="str">
        <x:v>4　効かなくなる：総タンパク量と中和抗体</x:v>
      </x:c>
      <x:c r="G53" s="99" t="n">
        <x:v>70</x:v>
      </x:c>
      <x:c r="H53" s="48" t="str">
        <x:v>だから「複合体タンパクが多い＝効かなくなる」とは直結しません。議論されているのは、**複合体タンパクを含む総タンパク量（protein load）が、本体に対する免疫応答を後押ししうるか**という間接の経路です。理屈としては成立しますが、**製剤間で中和抗体の発生率に臨床的な差がつくかは、用途・投与量・投与間隔・観察期間に依存し、単純化できません（要確認）**。</x:v>
      </x:c>
      <x:c r="I53" s="48" t="str">
        <x:v>安全性・臨床運用</x:v>
      </x:c>
      <x:c r="J53" s="48" t="str">
        <x:v>最新ガイドライン・添付文書・一次文献で確認し、対象・条件・不確実性を明記する。公開版では未照合のまま断定しない。</x:v>
      </x:c>
      <x:c r="K53" s="48" t="str">
        <x:v>本文/第53章_ボツリヌストキシンの生化学.md</x:v>
      </x:c>
      <x:c r="L53" s="30" t="str">
        <x:v>https://yucalyptus.github.io/biyou-cell-textbook/ch53.html</x:v>
      </x:c>
    </x:row>
    <x:row r="54" ht="100" customHeight="1">
      <x:c r="A54" s="90" t="str">
        <x:v>Q050</x:v>
      </x:c>
      <x:c r="B54" s="55" t="str">
        <x:v>高</x:v>
      </x:c>
      <x:c r="C54" s="99" t="str">
        <x:v>未対応</x:v>
      </x:c>
      <x:c r="D54" s="99" t="str">
        <x:v>第53章</x:v>
      </x:c>
      <x:c r="E54" s="99" t="str">
        <x:v>ボツリヌストキシンの生化学（botulinum toxin, BoNT）</x:v>
      </x:c>
      <x:c r="F54" s="99" t="str">
        <x:v>4　効かなくなる：総タンパク量と中和抗体</x:v>
      </x:c>
      <x:c r="G54" s="99" t="n">
        <x:v>72</x:v>
      </x:c>
      <x:c r="H54" s="48" t="str">
        <x:v>免疫原性に関与しうる因子として、1回投与量・累積投与量の多さ、投与間隔の短さが挙げられています。抗原提示の機会が増えるほど免疫応答が立ちやすい、という一般則です。問題になりやすいのは斜頸・痙縮などの**高用量域**で、**美容の低用量域では中和抗体による二次無効は相対的にまれ**とされます（頻度は要確認）。</x:v>
      </x:c>
      <x:c r="I54" s="48" t="str">
        <x:v>安全性・臨床運用</x:v>
      </x:c>
      <x:c r="J54" s="48" t="str">
        <x:v>最新ガイドライン・添付文書・一次文献で確認し、対象・条件・不確実性を明記する。公開版では未照合のまま断定しない。</x:v>
      </x:c>
      <x:c r="K54" s="48" t="str">
        <x:v>本文/第53章_ボツリヌストキシンの生化学.md</x:v>
      </x:c>
      <x:c r="L54" s="30" t="str">
        <x:v>https://yucalyptus.github.io/biyou-cell-textbook/ch53.html</x:v>
      </x:c>
    </x:row>
    <x:row r="55" ht="100" customHeight="1">
      <x:c r="A55" s="90" t="str">
        <x:v>Q051</x:v>
      </x:c>
      <x:c r="B55" s="58" t="str">
        <x:v>中</x:v>
      </x:c>
      <x:c r="C55" s="99" t="str">
        <x:v>未対応</x:v>
      </x:c>
      <x:c r="D55" s="99" t="str">
        <x:v>第53章</x:v>
      </x:c>
      <x:c r="E55" s="99" t="str">
        <x:v>ボツリヌストキシンの生化学（botulinum toxin, BoNT）</x:v>
      </x:c>
      <x:c r="F55" s="99" t="str">
        <x:v>5　「筋を止める」以外は、機序の確度が違う</x:v>
      </x:c>
      <x:c r="G55" s="99" t="n">
        <x:v>86</x:v>
      </x:c>
      <x:c r="H55" s="48" t="str">
        <x:v>**③ 未確立**：いわゆる面に散布する浅層注入で毛穴・皮脂・赤みが改善するという主張は、**皮脂腺や血管平滑筋、mast cell にもコリン作動性入力やSNARE依存の分泌がある**ため、機序としては生化学的に"あり得る"部類です（→ 第50章・第41章）。しかし**ヒトでの効果量・再現性・持続を示す質の高いデータは限定的**で、機序ベースの期待と臨床エビデンスの間に開きがあります（要確認）。</x:v>
      </x:c>
      <x:c r="I55" s="48" t="str">
        <x:v>内容確認</x:v>
      </x:c>
      <x:c r="J55" s="48" t="str">
        <x:v>対応する一次文献を確認し、確立事項・外挿・未確立を分けて記述する。公開版の『要確認』は、根拠を確定するか留保文へ置き換える。</x:v>
      </x:c>
      <x:c r="K55" s="48" t="str">
        <x:v>本文/第53章_ボツリヌストキシンの生化学.md</x:v>
      </x:c>
      <x:c r="L55" s="30" t="str">
        <x:v>https://yucalyptus.github.io/biyou-cell-textbook/ch53.html</x:v>
      </x:c>
    </x:row>
    <x:row r="56" ht="100" customHeight="1">
      <x:c r="A56" s="90" t="str">
        <x:v>Q052</x:v>
      </x:c>
      <x:c r="B56" s="55" t="str">
        <x:v>高</x:v>
      </x:c>
      <x:c r="C56" s="99" t="str">
        <x:v>未対応</x:v>
      </x:c>
      <x:c r="D56" s="99" t="str">
        <x:v>第53章</x:v>
      </x:c>
      <x:c r="E56" s="99" t="str">
        <x:v>ボツリヌストキシンの生化学（botulinum toxin, BoNT）</x:v>
      </x:c>
      <x:c r="F56" s="99" t="str">
        <x:v>Evidence meter</x:v>
      </x:c>
      <x:c r="G56" s="99" t="n">
        <x:v>109</x:v>
      </x:c>
      <x:c r="H56" s="48" t="str">
        <x:v>- 中和抗体による secondary non-response：**確立した臨床・免疫学的事実／発生率の製剤間差は用途・用量依存で要確認**</x:v>
      </x:c>
      <x:c r="I56" s="48" t="str">
        <x:v>安全性・臨床運用</x:v>
      </x:c>
      <x:c r="J56" s="48" t="str">
        <x:v>最新ガイドライン・添付文書・一次文献で確認し、対象・条件・不確実性を明記する。公開版では未照合のまま断定しない。</x:v>
      </x:c>
      <x:c r="K56" s="48" t="str">
        <x:v>本文/第53章_ボツリヌストキシンの生化学.md</x:v>
      </x:c>
      <x:c r="L56" s="30" t="str">
        <x:v>https://yucalyptus.github.io/biyou-cell-textbook/ch53.html</x:v>
      </x:c>
    </x:row>
    <x:row r="57" ht="100" customHeight="1">
      <x:c r="A57" s="90" t="str">
        <x:v>Q053</x:v>
      </x:c>
      <x:c r="B57" s="58" t="str">
        <x:v>中</x:v>
      </x:c>
      <x:c r="C57" s="99" t="str">
        <x:v>未対応</x:v>
      </x:c>
      <x:c r="D57" s="99" t="str">
        <x:v>第53章</x:v>
      </x:c>
      <x:c r="E57" s="99" t="str">
        <x:v>ボツリヌストキシンの生化学（botulinum toxin, BoNT）</x:v>
      </x:c>
      <x:c r="F57" s="99" t="str">
        <x:v>Evidence meter</x:v>
      </x:c>
      <x:c r="G57" s="99" t="n">
        <x:v>110</x:v>
      </x:c>
      <x:c r="H57" s="48" t="str">
        <x:v>- 総タンパク量（複合体タンパク・変性トキシンを含む）と臨床的免疫原性の関係：**製剤ごとに検証が必要（単純化不可・要確認）**</x:v>
      </x:c>
      <x:c r="I57" s="48" t="str">
        <x:v>内容確認</x:v>
      </x:c>
      <x:c r="J57" s="48" t="str">
        <x:v>対応する一次文献を確認し、確立事項・外挿・未確立を分けて記述する。公開版の『要確認』は、根拠を確定するか留保文へ置き換える。</x:v>
      </x:c>
      <x:c r="K57" s="48" t="str">
        <x:v>本文/第53章_ボツリヌストキシンの生化学.md</x:v>
      </x:c>
      <x:c r="L57" s="30" t="str">
        <x:v>https://yucalyptus.github.io/biyou-cell-textbook/ch53.html</x:v>
      </x:c>
    </x:row>
    <x:row r="58" ht="100" customHeight="1">
      <x:c r="A58" s="90" t="str">
        <x:v>Q054</x:v>
      </x:c>
      <x:c r="B58" s="58" t="str">
        <x:v>中</x:v>
      </x:c>
      <x:c r="C58" s="99" t="str">
        <x:v>未対応</x:v>
      </x:c>
      <x:c r="D58" s="99" t="str">
        <x:v>第53章</x:v>
      </x:c>
      <x:c r="E58" s="99" t="str">
        <x:v>ボツリヌストキシンの生化学（botulinum toxin, BoNT）</x:v>
      </x:c>
      <x:c r="F58" s="99" t="str">
        <x:v>中核参考文献（※PMID/DOIは最終照合が必要＝要確認）</x:v>
      </x:c>
      <x:c r="G58" s="99" t="n">
        <x:v>113</x:v>
      </x:c>
      <x:c r="H58" s="48" t="str">
        <x:v>### 中核参考文献（※PMID/DOIは最終照合が必要＝要確認）</x:v>
      </x:c>
      <x:c r="I58" s="48" t="str">
        <x:v>書誌照合</x:v>
      </x:c>
      <x:c r="J58" s="48" t="str">
        <x:v>PubMed・出版社ページ・一次文献で書誌を照合し、PMID/DOIを確定する。照合できない引用は本文の根拠として使わない。</x:v>
      </x:c>
      <x:c r="K58" s="48" t="str">
        <x:v>本文/第53章_ボツリヌストキシンの生化学.md</x:v>
      </x:c>
      <x:c r="L58" s="30" t="str">
        <x:v>https://yucalyptus.github.io/biyou-cell-textbook/ch53.html</x:v>
      </x:c>
    </x:row>
    <x:row r="59" ht="100" customHeight="1">
      <x:c r="A59" s="90" t="str">
        <x:v>Q055</x:v>
      </x:c>
      <x:c r="B59" s="58" t="str">
        <x:v>中</x:v>
      </x:c>
      <x:c r="C59" s="99" t="str">
        <x:v>未対応</x:v>
      </x:c>
      <x:c r="D59" s="99" t="str">
        <x:v>第54章</x:v>
      </x:c>
      <x:c r="E59" s="99" t="str">
        <x:v>NAD⁺前駆体（NMN・NR・NAM・niacin）</x:v>
      </x:c>
      <x:c r="F59" s="99" t="str">
        <x:v>中核参考文献（※PMID/DOIは最終照合が必要＝要確認）</x:v>
      </x:c>
      <x:c r="G59" s="99" t="n">
        <x:v>150</x:v>
      </x:c>
      <x:c r="H59" s="48" t="str">
        <x:v>### 中核参考文献（※PMID/DOIは最終照合が必要＝要確認）</x:v>
      </x:c>
      <x:c r="I59" s="48" t="str">
        <x:v>書誌照合</x:v>
      </x:c>
      <x:c r="J59" s="48" t="str">
        <x:v>PubMed・出版社ページ・一次文献で書誌を照合し、PMID/DOIを確定する。照合できない引用は本文の根拠として使わない。</x:v>
      </x:c>
      <x:c r="K59" s="48" t="str">
        <x:v>本文/第54章_NAD前駆体.md</x:v>
      </x:c>
      <x:c r="L59" s="30" t="str">
        <x:v>https://yucalyptus.github.io/biyou-cell-textbook/ch54.html</x:v>
      </x:c>
    </x:row>
    <x:row r="60" ht="100" customHeight="1">
      <x:c r="A60" s="91" t="str">
        <x:v>Q056</x:v>
      </x:c>
      <x:c r="B60" s="97" t="str">
        <x:v>高</x:v>
      </x:c>
      <x:c r="C60" s="100" t="str">
        <x:v>未対応</x:v>
      </x:c>
      <x:c r="D60" s="100" t="str">
        <x:v>第54章</x:v>
      </x:c>
      <x:c r="E60" s="100" t="str">
        <x:v>NAD⁺前駆体（NMN・NR・NAM・niacin）</x:v>
      </x:c>
      <x:c r="F60" s="100" t="str">
        <x:v>中核参考文献（※PMID/DOIは最終照合が必要＝要確認）</x:v>
      </x:c>
      <x:c r="G60" s="100" t="n">
        <x:v>166</x:v>
      </x:c>
      <x:c r="H60" s="49" t="str">
        <x:v>**固有番号を付さない＝要確認の項目**：65人・14日のNAM/NR/NMN直接比較試験（2025年）／全血NAD⁺と加齢の関連を検討した研究（2026年）／骨格筋アウトカムに関する2025年の2本のメタ解析／IV NAD⁺ と IV NR の忍容性比較（平均約97分 vs 約37分）／FDAによる2025年のNMN判断撤回。いずれも一次文献の照合が済むまで固有番号を付しません（→ `図解/校正TODO.md`）。</x:v>
      </x:c>
      <x:c r="I60" s="49" t="str">
        <x:v>規制・適応</x:v>
      </x:c>
      <x:c r="J60" s="49" t="str">
        <x:v>最新の公的文書・添付文書で、国・確認日・適応範囲を照合して明記する。変わり得る情報には最終更新日を付ける。</x:v>
      </x:c>
      <x:c r="K60" s="49" t="str">
        <x:v>本文/第54章_NAD前駆体.md</x:v>
      </x:c>
      <x:c r="L60" s="32" t="str">
        <x:v>https://yucalyptus.github.io/biyou-cell-textbook/ch54.html</x:v>
      </x:c>
    </x:row>
  </x:sheetData>
  <x:mergeCells>
    <x:mergeCell ref="A1:L1"/>
    <x:mergeCell ref="A2:L2"/>
  </x:mergeCells>
  <x:dataValidations count="2">
    <x:dataValidation type="list" sqref="C5:C60">
      <x:formula1>"未対応,対応中,要検討,対応済み,保留"</x:formula1>
    </x:dataValidation>
    <x:dataValidation type="list" sqref="B5:B60">
      <x:formula1>"最優先,高,中,低"</x:formula1>
    </x:dataValidation>
  </x:dataValidations>
  <x:pageMargins left="0.7" right="0.7" top="0.75" bottom="0.75" header="0.3" footer="0.3"/>
  <x:tableParts count="1">
    <x:tablePart xmlns:r="http://schemas.openxmlformats.org/officeDocument/2006/relationships" r:id="R5435ede3fa464e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2" hidden="0" customWidth="1"/>
    <x:col min="4" max="4" width="24" hidden="0" customWidth="1"/>
    <x:col min="5" max="5" width="16" hidden="0" customWidth="1"/>
    <x:col min="6" max="6" width="16" hidden="0" customWidth="1"/>
    <x:col min="7" max="7" width="14" hidden="0" customWidth="1"/>
    <x:col min="8" max="8" width="18" hidden="0" customWidth="1"/>
    <x:col min="9" max="9" width="10" hidden="0" customWidth="1"/>
    <x:col min="10" max="10" width="30" hidden="0" customWidth="1"/>
  </x:cols>
  <x:sheetData>
    <x:row r="1" ht="32" customHeight="1">
      <x:c r="A1" s="3" t="str">
        <x:v>章別チェック</x:v>
      </x:c>
      <x:c r="B1" s="3"/>
      <x:c r="C1" s="3"/>
      <x:c r="D1" s="3"/>
      <x:c r="E1" s="3"/>
      <x:c r="F1" s="3"/>
      <x:c r="G1" s="3"/>
      <x:c r="H1" s="3"/>
      <x:c r="I1" s="3"/>
      <x:c r="J1" s="3"/>
    </x:row>
    <x:row r="2" ht="28" customHeight="1">
      <x:c r="A2" s="7" t="str">
        <x:v>各章の構造・根拠表示・『要確認』件数を一覧化。『なし』が直ちに誤りではなく、編集方針を揃えるための棚卸しです。</x:v>
      </x:c>
      <x:c r="B2" s="7"/>
      <x:c r="C2" s="7"/>
      <x:c r="D2" s="7"/>
      <x:c r="E2" s="7"/>
      <x:c r="F2" s="7"/>
      <x:c r="G2" s="7"/>
      <x:c r="H2" s="7"/>
      <x:c r="I2" s="7"/>
      <x:c r="J2" s="7"/>
    </x:row>
    <x:row r="4" ht="32" customHeight="1">
      <x:c r="A4" s="13" t="str">
        <x:v>章</x:v>
      </x:c>
      <x:c r="B4" s="13" t="str">
        <x:v>章タイトル</x:v>
      </x:c>
      <x:c r="C4" s="13" t="str">
        <x:v>文字数</x:v>
      </x:c>
      <x:c r="D4" s="13" t="str">
        <x:v>節番号</x:v>
      </x:c>
      <x:c r="E4" s="13" t="str">
        <x:v>Evidence meter</x:v>
      </x:c>
      <x:c r="F4" s="13" t="str">
        <x:v>参考文献</x:v>
      </x:c>
      <x:c r="G4" s="13" t="str">
        <x:v>要確認件数</x:v>
      </x:c>
      <x:c r="H4" s="13" t="str">
        <x:v>公開HTML</x:v>
      </x:c>
      <x:c r="I4" s="13" t="str">
        <x:v>画像数</x:v>
      </x:c>
      <x:c r="J4" s="13" t="str">
        <x:v>備考</x:v>
      </x:c>
    </x:row>
    <x:row r="5" ht="28" customHeight="1">
      <x:c r="A5" s="89" t="str">
        <x:v>第1章</x:v>
      </x:c>
      <x:c r="B5" s="47" t="str">
        <x:v>細胞とは何か</x:v>
      </x:c>
      <x:c r="C5" s="104" t="n">
        <x:v>4330</x:v>
      </x:c>
      <x:c r="D5" s="98" t="str">
        <x:v>問題なし</x:v>
      </x:c>
      <x:c r="E5" s="98" t="str">
        <x:v>なし</x:v>
      </x:c>
      <x:c r="F5" s="98" t="str">
        <x:v>なし</x:v>
      </x:c>
      <x:c r="G5" s="104" t="n">
        <x:v>0</x:v>
      </x:c>
      <x:c r="H5" s="98" t="str">
        <x:v>ch01.html</x:v>
      </x:c>
      <x:c r="I5" s="104" t="n">
        <x:v>6</x:v>
      </x:c>
      <x:c r="J5" s="28" t="str"/>
    </x:row>
    <x:row r="6" ht="28" customHeight="1">
      <x:c r="A6" s="90" t="str">
        <x:v>第2章</x:v>
      </x:c>
      <x:c r="B6" s="48" t="str">
        <x:v>オルガネラ（細胞内小器官）</x:v>
      </x:c>
      <x:c r="C6" s="105" t="n">
        <x:v>4827</x:v>
      </x:c>
      <x:c r="D6" s="99" t="str">
        <x:v>問題なし</x:v>
      </x:c>
      <x:c r="E6" s="99" t="str">
        <x:v>なし</x:v>
      </x:c>
      <x:c r="F6" s="99" t="str">
        <x:v>なし</x:v>
      </x:c>
      <x:c r="G6" s="105" t="n">
        <x:v>0</x:v>
      </x:c>
      <x:c r="H6" s="99" t="str">
        <x:v>ch02.html</x:v>
      </x:c>
      <x:c r="I6" s="105" t="n">
        <x:v>6</x:v>
      </x:c>
      <x:c r="J6" s="30" t="str"/>
    </x:row>
    <x:row r="7" ht="28" customHeight="1">
      <x:c r="A7" s="90" t="str">
        <x:v>第3章</x:v>
      </x:c>
      <x:c r="B7" s="48" t="str">
        <x:v>細胞はどう仕事を分担するか</x:v>
      </x:c>
      <x:c r="C7" s="105" t="n">
        <x:v>2685</x:v>
      </x:c>
      <x:c r="D7" s="99" t="str">
        <x:v>問題なし</x:v>
      </x:c>
      <x:c r="E7" s="99" t="str">
        <x:v>なし</x:v>
      </x:c>
      <x:c r="F7" s="99" t="str">
        <x:v>なし</x:v>
      </x:c>
      <x:c r="G7" s="105" t="n">
        <x:v>0</x:v>
      </x:c>
      <x:c r="H7" s="99" t="str">
        <x:v>ch03.html</x:v>
      </x:c>
      <x:c r="I7" s="105" t="n">
        <x:v>6</x:v>
      </x:c>
      <x:c r="J7" s="30" t="str"/>
    </x:row>
    <x:row r="8" ht="28" customHeight="1">
      <x:c r="A8" s="90" t="str">
        <x:v>第4章</x:v>
      </x:c>
      <x:c r="B8" s="48" t="str">
        <x:v>DNAからタンパク質まで</x:v>
      </x:c>
      <x:c r="C8" s="105" t="n">
        <x:v>3725</x:v>
      </x:c>
      <x:c r="D8" s="99" t="str">
        <x:v>問題なし</x:v>
      </x:c>
      <x:c r="E8" s="99" t="str">
        <x:v>なし</x:v>
      </x:c>
      <x:c r="F8" s="99" t="str">
        <x:v>なし</x:v>
      </x:c>
      <x:c r="G8" s="105" t="n">
        <x:v>0</x:v>
      </x:c>
      <x:c r="H8" s="99" t="str">
        <x:v>ch04.html</x:v>
      </x:c>
      <x:c r="I8" s="105" t="n">
        <x:v>6</x:v>
      </x:c>
      <x:c r="J8" s="30" t="str"/>
    </x:row>
    <x:row r="9" ht="28" customHeight="1">
      <x:c r="A9" s="90" t="str">
        <x:v>第5章</x:v>
      </x:c>
      <x:c r="B9" s="48" t="str">
        <x:v>エピゲノム</x:v>
      </x:c>
      <x:c r="C9" s="105" t="n">
        <x:v>3442</x:v>
      </x:c>
      <x:c r="D9" s="99" t="str">
        <x:v>問題なし</x:v>
      </x:c>
      <x:c r="E9" s="99" t="str">
        <x:v>なし</x:v>
      </x:c>
      <x:c r="F9" s="99" t="str">
        <x:v>なし</x:v>
      </x:c>
      <x:c r="G9" s="105" t="n">
        <x:v>0</x:v>
      </x:c>
      <x:c r="H9" s="99" t="str">
        <x:v>ch05.html</x:v>
      </x:c>
      <x:c r="I9" s="105" t="n">
        <x:v>6</x:v>
      </x:c>
      <x:c r="J9" s="30" t="str"/>
    </x:row>
    <x:row r="10" ht="28" customHeight="1">
      <x:c r="A10" s="90" t="str">
        <x:v>第6章</x:v>
      </x:c>
      <x:c r="B10" s="48" t="str">
        <x:v>受容体と細胞内シグナル</x:v>
      </x:c>
      <x:c r="C10" s="105" t="n">
        <x:v>4255</x:v>
      </x:c>
      <x:c r="D10" s="99" t="str">
        <x:v>問題なし</x:v>
      </x:c>
      <x:c r="E10" s="99" t="str">
        <x:v>なし</x:v>
      </x:c>
      <x:c r="F10" s="99" t="str">
        <x:v>なし</x:v>
      </x:c>
      <x:c r="G10" s="105" t="n">
        <x:v>0</x:v>
      </x:c>
      <x:c r="H10" s="99" t="str">
        <x:v>ch06.html</x:v>
      </x:c>
      <x:c r="I10" s="105" t="n">
        <x:v>6</x:v>
      </x:c>
      <x:c r="J10" s="30" t="str"/>
    </x:row>
    <x:row r="11" ht="28" customHeight="1">
      <x:c r="A11" s="90" t="str">
        <x:v>第7章</x:v>
      </x:c>
      <x:c r="B11" s="48" t="str">
        <x:v>細胞膜と物質輸送</x:v>
      </x:c>
      <x:c r="C11" s="105" t="n">
        <x:v>3092</x:v>
      </x:c>
      <x:c r="D11" s="99" t="str">
        <x:v>問題なし</x:v>
      </x:c>
      <x:c r="E11" s="99" t="str">
        <x:v>なし</x:v>
      </x:c>
      <x:c r="F11" s="99" t="str">
        <x:v>なし</x:v>
      </x:c>
      <x:c r="G11" s="105" t="n">
        <x:v>0</x:v>
      </x:c>
      <x:c r="H11" s="99" t="str">
        <x:v>ch07.html</x:v>
      </x:c>
      <x:c r="I11" s="105" t="n">
        <x:v>6</x:v>
      </x:c>
      <x:c r="J11" s="30" t="str"/>
    </x:row>
    <x:row r="12" ht="28" customHeight="1">
      <x:c r="A12" s="90" t="str">
        <x:v>第8章</x:v>
      </x:c>
      <x:c r="B12" s="48" t="str">
        <x:v>代謝とATP</x:v>
      </x:c>
      <x:c r="C12" s="105" t="n">
        <x:v>3165</x:v>
      </x:c>
      <x:c r="D12" s="99" t="str">
        <x:v>問題なし</x:v>
      </x:c>
      <x:c r="E12" s="99" t="str">
        <x:v>なし</x:v>
      </x:c>
      <x:c r="F12" s="99" t="str">
        <x:v>なし</x:v>
      </x:c>
      <x:c r="G12" s="105" t="n">
        <x:v>0</x:v>
      </x:c>
      <x:c r="H12" s="99" t="str">
        <x:v>ch08.html</x:v>
      </x:c>
      <x:c r="I12" s="105" t="n">
        <x:v>6</x:v>
      </x:c>
      <x:c r="J12" s="30" t="str"/>
    </x:row>
    <x:row r="13" ht="28" customHeight="1">
      <x:c r="A13" s="90" t="str">
        <x:v>第9章</x:v>
      </x:c>
      <x:c r="B13" s="48" t="str">
        <x:v>解糖系（glycolysis）</x:v>
      </x:c>
      <x:c r="C13" s="105" t="n">
        <x:v>6623</x:v>
      </x:c>
      <x:c r="D13" s="99" t="str">
        <x:v>問題なし</x:v>
      </x:c>
      <x:c r="E13" s="99" t="str">
        <x:v>なし</x:v>
      </x:c>
      <x:c r="F13" s="99" t="str">
        <x:v>なし</x:v>
      </x:c>
      <x:c r="G13" s="105" t="n">
        <x:v>0</x:v>
      </x:c>
      <x:c r="H13" s="99" t="str">
        <x:v>ch09.html</x:v>
      </x:c>
      <x:c r="I13" s="105" t="n">
        <x:v>7</x:v>
      </x:c>
      <x:c r="J13" s="30" t="str"/>
    </x:row>
    <x:row r="14" ht="28" customHeight="1">
      <x:c r="A14" s="90" t="str">
        <x:v>第10章</x:v>
      </x:c>
      <x:c r="B14" s="48" t="str">
        <x:v>TCA回路</x:v>
      </x:c>
      <x:c r="C14" s="105" t="n">
        <x:v>5538</x:v>
      </x:c>
      <x:c r="D14" s="99" t="str">
        <x:v>問題なし</x:v>
      </x:c>
      <x:c r="E14" s="99" t="str">
        <x:v>なし</x:v>
      </x:c>
      <x:c r="F14" s="99" t="str">
        <x:v>なし</x:v>
      </x:c>
      <x:c r="G14" s="105" t="n">
        <x:v>0</x:v>
      </x:c>
      <x:c r="H14" s="99" t="str">
        <x:v>ch10.html</x:v>
      </x:c>
      <x:c r="I14" s="105" t="n">
        <x:v>6</x:v>
      </x:c>
      <x:c r="J14" s="30" t="str"/>
    </x:row>
    <x:row r="15" ht="28" customHeight="1">
      <x:c r="A15" s="90" t="str">
        <x:v>第11章</x:v>
      </x:c>
      <x:c r="B15" s="48" t="str">
        <x:v>電子伝達系（electron transport chain）</x:v>
      </x:c>
      <x:c r="C15" s="105" t="n">
        <x:v>5482</x:v>
      </x:c>
      <x:c r="D15" s="99" t="str">
        <x:v>問題なし</x:v>
      </x:c>
      <x:c r="E15" s="99" t="str">
        <x:v>なし</x:v>
      </x:c>
      <x:c r="F15" s="99" t="str">
        <x:v>なし</x:v>
      </x:c>
      <x:c r="G15" s="105" t="n">
        <x:v>0</x:v>
      </x:c>
      <x:c r="H15" s="99" t="str">
        <x:v>ch11.html</x:v>
      </x:c>
      <x:c r="I15" s="105" t="n">
        <x:v>7</x:v>
      </x:c>
      <x:c r="J15" s="30" t="str"/>
    </x:row>
    <x:row r="16" ht="28" customHeight="1">
      <x:c r="A16" s="90" t="str">
        <x:v>第12章</x:v>
      </x:c>
      <x:c r="B16" s="48" t="str">
        <x:v>酸化ストレスと抗酸化</x:v>
      </x:c>
      <x:c r="C16" s="105" t="n">
        <x:v>7037</x:v>
      </x:c>
      <x:c r="D16" s="99" t="str">
        <x:v>問題なし</x:v>
      </x:c>
      <x:c r="E16" s="99" t="str">
        <x:v>なし</x:v>
      </x:c>
      <x:c r="F16" s="99" t="str">
        <x:v>あり</x:v>
      </x:c>
      <x:c r="G16" s="105" t="n">
        <x:v>0</x:v>
      </x:c>
      <x:c r="H16" s="99" t="str">
        <x:v>ch12.html</x:v>
      </x:c>
      <x:c r="I16" s="105" t="n">
        <x:v>6</x:v>
      </x:c>
      <x:c r="J16" s="30" t="str"/>
    </x:row>
    <x:row r="17" ht="28" customHeight="1">
      <x:c r="A17" s="90" t="str">
        <x:v>第13章</x:v>
      </x:c>
      <x:c r="B17" s="48" t="str">
        <x:v>NAD⁺</x:v>
      </x:c>
      <x:c r="C17" s="105" t="n">
        <x:v>5804</x:v>
      </x:c>
      <x:c r="D17" s="99" t="str">
        <x:v>問題なし</x:v>
      </x:c>
      <x:c r="E17" s="99" t="str">
        <x:v>なし</x:v>
      </x:c>
      <x:c r="F17" s="99" t="str">
        <x:v>なし</x:v>
      </x:c>
      <x:c r="G17" s="105" t="n">
        <x:v>0</x:v>
      </x:c>
      <x:c r="H17" s="99" t="str">
        <x:v>ch13.html</x:v>
      </x:c>
      <x:c r="I17" s="105" t="n">
        <x:v>6</x:v>
      </x:c>
      <x:c r="J17" s="30" t="str"/>
    </x:row>
    <x:row r="18" ht="28" customHeight="1">
      <x:c r="A18" s="90" t="str">
        <x:v>第14章</x:v>
      </x:c>
      <x:c r="B18" s="48" t="str">
        <x:v>アミノ酸は材料であり、シグナルでもある</x:v>
      </x:c>
      <x:c r="C18" s="105" t="n">
        <x:v>6234</x:v>
      </x:c>
      <x:c r="D18" s="99" t="str">
        <x:v>問題なし</x:v>
      </x:c>
      <x:c r="E18" s="99" t="str">
        <x:v>なし</x:v>
      </x:c>
      <x:c r="F18" s="99" t="str">
        <x:v>なし</x:v>
      </x:c>
      <x:c r="G18" s="105" t="n">
        <x:v>0</x:v>
      </x:c>
      <x:c r="H18" s="99" t="str">
        <x:v>ch14.html</x:v>
      </x:c>
      <x:c r="I18" s="105" t="n">
        <x:v>6</x:v>
      </x:c>
      <x:c r="J18" s="30" t="str"/>
    </x:row>
    <x:row r="19" ht="28" customHeight="1">
      <x:c r="A19" s="90" t="str">
        <x:v>第15章</x:v>
      </x:c>
      <x:c r="B19" s="48" t="str">
        <x:v>mTORC1はアミノ酸をどう感知するか</x:v>
      </x:c>
      <x:c r="C19" s="105" t="n">
        <x:v>6358</x:v>
      </x:c>
      <x:c r="D19" s="99" t="str">
        <x:v>問題なし</x:v>
      </x:c>
      <x:c r="E19" s="99" t="str">
        <x:v>なし</x:v>
      </x:c>
      <x:c r="F19" s="99" t="str">
        <x:v>なし</x:v>
      </x:c>
      <x:c r="G19" s="105" t="n">
        <x:v>0</x:v>
      </x:c>
      <x:c r="H19" s="99" t="str">
        <x:v>ch15.html</x:v>
      </x:c>
      <x:c r="I19" s="105" t="n">
        <x:v>6</x:v>
      </x:c>
      <x:c r="J19" s="30" t="str"/>
    </x:row>
    <x:row r="20" ht="28" customHeight="1">
      <x:c r="A20" s="90" t="str">
        <x:v>第16章</x:v>
      </x:c>
      <x:c r="B20" s="48" t="str">
        <x:v>オートファジーとリソソーム</x:v>
      </x:c>
      <x:c r="C20" s="105" t="n">
        <x:v>6583</x:v>
      </x:c>
      <x:c r="D20" s="99" t="str">
        <x:v>問題なし</x:v>
      </x:c>
      <x:c r="E20" s="99" t="str">
        <x:v>なし</x:v>
      </x:c>
      <x:c r="F20" s="99" t="str">
        <x:v>なし</x:v>
      </x:c>
      <x:c r="G20" s="105" t="n">
        <x:v>0</x:v>
      </x:c>
      <x:c r="H20" s="99" t="str">
        <x:v>ch16.html</x:v>
      </x:c>
      <x:c r="I20" s="105" t="n">
        <x:v>6</x:v>
      </x:c>
      <x:c r="J20" s="30" t="str"/>
    </x:row>
    <x:row r="21" ht="28" customHeight="1">
      <x:c r="A21" s="90" t="str">
        <x:v>第17章</x:v>
      </x:c>
      <x:c r="B21" s="48" t="str">
        <x:v>ミトコンドリア品質管理</x:v>
      </x:c>
      <x:c r="C21" s="105" t="n">
        <x:v>5946</x:v>
      </x:c>
      <x:c r="D21" s="99" t="str">
        <x:v>問題なし</x:v>
      </x:c>
      <x:c r="E21" s="99" t="str">
        <x:v>なし</x:v>
      </x:c>
      <x:c r="F21" s="99" t="str">
        <x:v>なし</x:v>
      </x:c>
      <x:c r="G21" s="105" t="n">
        <x:v>0</x:v>
      </x:c>
      <x:c r="H21" s="99" t="str">
        <x:v>ch17.html</x:v>
      </x:c>
      <x:c r="I21" s="105" t="n">
        <x:v>6</x:v>
      </x:c>
      <x:c r="J21" s="30" t="str"/>
    </x:row>
    <x:row r="22" ht="28" customHeight="1">
      <x:c r="A22" s="90" t="str">
        <x:v>第18章</x:v>
      </x:c>
      <x:c r="B22" s="48" t="str">
        <x:v>AMPKとmTOR</x:v>
      </x:c>
      <x:c r="C22" s="105" t="n">
        <x:v>6367</x:v>
      </x:c>
      <x:c r="D22" s="99" t="str">
        <x:v>問題なし</x:v>
      </x:c>
      <x:c r="E22" s="99" t="str">
        <x:v>なし</x:v>
      </x:c>
      <x:c r="F22" s="99" t="str">
        <x:v>なし</x:v>
      </x:c>
      <x:c r="G22" s="105" t="n">
        <x:v>0</x:v>
      </x:c>
      <x:c r="H22" s="99" t="str">
        <x:v>ch18.html</x:v>
      </x:c>
      <x:c r="I22" s="105" t="n">
        <x:v>6</x:v>
      </x:c>
      <x:c r="J22" s="30" t="str"/>
    </x:row>
    <x:row r="23" ht="28" customHeight="1">
      <x:c r="A23" s="90" t="str">
        <x:v>第19章</x:v>
      </x:c>
      <x:c r="B23" s="48" t="str">
        <x:v>細胞周期</x:v>
      </x:c>
      <x:c r="C23" s="105" t="n">
        <x:v>4211</x:v>
      </x:c>
      <x:c r="D23" s="99" t="str">
        <x:v>問題なし</x:v>
      </x:c>
      <x:c r="E23" s="99" t="str">
        <x:v>なし</x:v>
      </x:c>
      <x:c r="F23" s="99" t="str">
        <x:v>なし</x:v>
      </x:c>
      <x:c r="G23" s="105" t="n">
        <x:v>0</x:v>
      </x:c>
      <x:c r="H23" s="99" t="str">
        <x:v>ch19.html</x:v>
      </x:c>
      <x:c r="I23" s="105" t="n">
        <x:v>6</x:v>
      </x:c>
      <x:c r="J23" s="30" t="str"/>
    </x:row>
    <x:row r="24" ht="28" customHeight="1">
      <x:c r="A24" s="90" t="str">
        <x:v>第20章</x:v>
      </x:c>
      <x:c r="B24" s="48" t="str">
        <x:v>細胞死</x:v>
      </x:c>
      <x:c r="C24" s="105" t="n">
        <x:v>4781</x:v>
      </x:c>
      <x:c r="D24" s="99" t="str">
        <x:v>問題なし</x:v>
      </x:c>
      <x:c r="E24" s="99" t="str">
        <x:v>なし</x:v>
      </x:c>
      <x:c r="F24" s="99" t="str">
        <x:v>なし</x:v>
      </x:c>
      <x:c r="G24" s="105" t="n">
        <x:v>0</x:v>
      </x:c>
      <x:c r="H24" s="99" t="str">
        <x:v>ch20.html</x:v>
      </x:c>
      <x:c r="I24" s="105" t="n">
        <x:v>6</x:v>
      </x:c>
      <x:c r="J24" s="30" t="str"/>
    </x:row>
    <x:row r="25" ht="28" customHeight="1">
      <x:c r="A25" s="90" t="str">
        <x:v>第21章</x:v>
      </x:c>
      <x:c r="B25" s="48" t="str">
        <x:v>炎症と創傷治癒</x:v>
      </x:c>
      <x:c r="C25" s="105" t="n">
        <x:v>8157</x:v>
      </x:c>
      <x:c r="D25" s="99" t="str">
        <x:v>問題なし</x:v>
      </x:c>
      <x:c r="E25" s="99" t="str">
        <x:v>なし</x:v>
      </x:c>
      <x:c r="F25" s="99" t="str">
        <x:v>あり</x:v>
      </x:c>
      <x:c r="G25" s="105" t="n">
        <x:v>0</x:v>
      </x:c>
      <x:c r="H25" s="99" t="str">
        <x:v>ch21.html</x:v>
      </x:c>
      <x:c r="I25" s="105" t="n">
        <x:v>8</x:v>
      </x:c>
      <x:c r="J25" s="30" t="str"/>
    </x:row>
    <x:row r="26" ht="28" customHeight="1">
      <x:c r="A26" s="90" t="str">
        <x:v>第22章</x:v>
      </x:c>
      <x:c r="B26" s="48" t="str">
        <x:v>血管・内皮と神経血管ユニット ―― あかみの土台</x:v>
      </x:c>
      <x:c r="C26" s="105" t="n">
        <x:v>5274</x:v>
      </x:c>
      <x:c r="D26" s="99" t="str">
        <x:v>問題なし</x:v>
      </x:c>
      <x:c r="E26" s="99" t="str">
        <x:v>なし</x:v>
      </x:c>
      <x:c r="F26" s="99" t="str">
        <x:v>あり</x:v>
      </x:c>
      <x:c r="G26" s="105" t="n">
        <x:v>1</x:v>
      </x:c>
      <x:c r="H26" s="99" t="str">
        <x:v>ch22.html</x:v>
      </x:c>
      <x:c r="I26" s="105" t="n">
        <x:v>6</x:v>
      </x:c>
      <x:c r="J26" s="30" t="str"/>
    </x:row>
    <x:row r="27" ht="28" customHeight="1">
      <x:c r="A27" s="90" t="str">
        <x:v>第23章</x:v>
      </x:c>
      <x:c r="B27" s="48" t="str">
        <x:v>ECMとmechanotransduction</x:v>
      </x:c>
      <x:c r="C27" s="105" t="n">
        <x:v>6051</x:v>
      </x:c>
      <x:c r="D27" s="99" t="str">
        <x:v>問題なし</x:v>
      </x:c>
      <x:c r="E27" s="99" t="str">
        <x:v>なし</x:v>
      </x:c>
      <x:c r="F27" s="99" t="str">
        <x:v>なし</x:v>
      </x:c>
      <x:c r="G27" s="105" t="n">
        <x:v>0</x:v>
      </x:c>
      <x:c r="H27" s="99" t="str">
        <x:v>ch23.html</x:v>
      </x:c>
      <x:c r="I27" s="105" t="n">
        <x:v>6</x:v>
      </x:c>
      <x:c r="J27" s="30" t="str"/>
    </x:row>
    <x:row r="28" ht="28" customHeight="1">
      <x:c r="A28" s="90" t="str">
        <x:v>第24章</x:v>
      </x:c>
      <x:c r="B28" s="48" t="str">
        <x:v>Hallmarks of Aging（老化の指標）</x:v>
      </x:c>
      <x:c r="C28" s="105" t="n">
        <x:v>4480</x:v>
      </x:c>
      <x:c r="D28" s="99" t="str">
        <x:v>問題なし</x:v>
      </x:c>
      <x:c r="E28" s="99" t="str">
        <x:v>なし</x:v>
      </x:c>
      <x:c r="F28" s="99" t="str">
        <x:v>なし</x:v>
      </x:c>
      <x:c r="G28" s="105" t="n">
        <x:v>0</x:v>
      </x:c>
      <x:c r="H28" s="99" t="str">
        <x:v>ch24.html</x:v>
      </x:c>
      <x:c r="I28" s="105" t="n">
        <x:v>6</x:v>
      </x:c>
      <x:c r="J28" s="30" t="str"/>
    </x:row>
    <x:row r="29" ht="28" customHeight="1">
      <x:c r="A29" s="90" t="str">
        <x:v>第25章</x:v>
      </x:c>
      <x:c r="B29" s="48" t="str">
        <x:v>細胞老化（cellular senescence）</x:v>
      </x:c>
      <x:c r="C29" s="105" t="n">
        <x:v>6244</x:v>
      </x:c>
      <x:c r="D29" s="99" t="str">
        <x:v>問題なし</x:v>
      </x:c>
      <x:c r="E29" s="99" t="str">
        <x:v>なし</x:v>
      </x:c>
      <x:c r="F29" s="99" t="str">
        <x:v>なし</x:v>
      </x:c>
      <x:c r="G29" s="105" t="n">
        <x:v>0</x:v>
      </x:c>
      <x:c r="H29" s="99" t="str">
        <x:v>ch25.html</x:v>
      </x:c>
      <x:c r="I29" s="105" t="n">
        <x:v>6</x:v>
      </x:c>
      <x:c r="J29" s="30" t="str"/>
    </x:row>
    <x:row r="30" ht="28" customHeight="1">
      <x:c r="A30" s="90" t="str">
        <x:v>第26章</x:v>
      </x:c>
      <x:c r="B30" s="48" t="str">
        <x:v>ミトコンドリア機能不全と細胞老化</x:v>
      </x:c>
      <x:c r="C30" s="105" t="n">
        <x:v>4469</x:v>
      </x:c>
      <x:c r="D30" s="99" t="str">
        <x:v>問題なし</x:v>
      </x:c>
      <x:c r="E30" s="99" t="str">
        <x:v>なし</x:v>
      </x:c>
      <x:c r="F30" s="99" t="str">
        <x:v>なし</x:v>
      </x:c>
      <x:c r="G30" s="105" t="n">
        <x:v>0</x:v>
      </x:c>
      <x:c r="H30" s="99" t="str">
        <x:v>ch26.html</x:v>
      </x:c>
      <x:c r="I30" s="105" t="n">
        <x:v>6</x:v>
      </x:c>
      <x:c r="J30" s="30" t="str"/>
    </x:row>
    <x:row r="31" ht="28" customHeight="1">
      <x:c r="A31" s="90" t="str">
        <x:v>第27章</x:v>
      </x:c>
      <x:c r="B31" s="48" t="str">
        <x:v>線維芽細胞とコラーゲン</x:v>
      </x:c>
      <x:c r="C31" s="105" t="n">
        <x:v>8822</x:v>
      </x:c>
      <x:c r="D31" s="99" t="str">
        <x:v>問題なし</x:v>
      </x:c>
      <x:c r="E31" s="99" t="str">
        <x:v>あり</x:v>
      </x:c>
      <x:c r="F31" s="99" t="str">
        <x:v>あり</x:v>
      </x:c>
      <x:c r="G31" s="105" t="n">
        <x:v>1</x:v>
      </x:c>
      <x:c r="H31" s="99" t="str">
        <x:v>ch27.html</x:v>
      </x:c>
      <x:c r="I31" s="105" t="n">
        <x:v>6</x:v>
      </x:c>
      <x:c r="J31" s="30" t="str"/>
    </x:row>
    <x:row r="32" ht="28" customHeight="1">
      <x:c r="A32" s="90" t="str">
        <x:v>第28章</x:v>
      </x:c>
      <x:c r="B32" s="48" t="str">
        <x:v>ヒアルロン酸フィラーの生化学</x:v>
      </x:c>
      <x:c r="C32" s="105" t="n">
        <x:v>8803</x:v>
      </x:c>
      <x:c r="D32" s="99" t="str">
        <x:v>問題なし</x:v>
      </x:c>
      <x:c r="E32" s="99" t="str">
        <x:v>あり</x:v>
      </x:c>
      <x:c r="F32" s="99" t="str">
        <x:v>あり</x:v>
      </x:c>
      <x:c r="G32" s="105" t="n">
        <x:v>7</x:v>
      </x:c>
      <x:c r="H32" s="99" t="str">
        <x:v>ch28.html</x:v>
      </x:c>
      <x:c r="I32" s="105" t="n">
        <x:v>6</x:v>
      </x:c>
      <x:c r="J32" s="30" t="str"/>
    </x:row>
    <x:row r="33" ht="28" customHeight="1">
      <x:c r="A33" s="90" t="str">
        <x:v>第29章</x:v>
      </x:c>
      <x:c r="B33" s="48" t="str">
        <x:v>レチノイド外用の生化学</x:v>
      </x:c>
      <x:c r="C33" s="105" t="n">
        <x:v>10771</x:v>
      </x:c>
      <x:c r="D33" s="99" t="str">
        <x:v>問題なし</x:v>
      </x:c>
      <x:c r="E33" s="99" t="str">
        <x:v>あり</x:v>
      </x:c>
      <x:c r="F33" s="99" t="str">
        <x:v>あり</x:v>
      </x:c>
      <x:c r="G33" s="105" t="n">
        <x:v>2</x:v>
      </x:c>
      <x:c r="H33" s="99" t="str">
        <x:v>ch29.html</x:v>
      </x:c>
      <x:c r="I33" s="105" t="n">
        <x:v>6</x:v>
      </x:c>
      <x:c r="J33" s="30" t="str"/>
    </x:row>
    <x:row r="34" ht="28" customHeight="1">
      <x:c r="A34" s="90" t="str">
        <x:v>第30章</x:v>
      </x:c>
      <x:c r="B34" s="48" t="str">
        <x:v>弾性線維と膠原線維 ―― 増やせるのはコラーゲンだけ</x:v>
      </x:c>
      <x:c r="C34" s="105" t="n">
        <x:v>6893</x:v>
      </x:c>
      <x:c r="D34" s="99" t="str">
        <x:v>問題なし</x:v>
      </x:c>
      <x:c r="E34" s="99" t="str">
        <x:v>あり</x:v>
      </x:c>
      <x:c r="F34" s="99" t="str">
        <x:v>あり</x:v>
      </x:c>
      <x:c r="G34" s="105" t="n">
        <x:v>1</x:v>
      </x:c>
      <x:c r="H34" s="99" t="str">
        <x:v>ch30.html</x:v>
      </x:c>
      <x:c r="I34" s="105" t="n">
        <x:v>5</x:v>
      </x:c>
      <x:c r="J34" s="30" t="str"/>
    </x:row>
    <x:row r="35" ht="28" customHeight="1">
      <x:c r="A35" s="90" t="str">
        <x:v>第31章</x:v>
      </x:c>
      <x:c r="B35" s="48" t="str">
        <x:v>糖化とAGE ―― 一度できた架橋は外れない</x:v>
      </x:c>
      <x:c r="C35" s="105" t="n">
        <x:v>5510</x:v>
      </x:c>
      <x:c r="D35" s="99" t="str">
        <x:v>問題なし</x:v>
      </x:c>
      <x:c r="E35" s="99" t="str">
        <x:v>あり</x:v>
      </x:c>
      <x:c r="F35" s="99" t="str">
        <x:v>あり</x:v>
      </x:c>
      <x:c r="G35" s="105" t="n">
        <x:v>4</x:v>
      </x:c>
      <x:c r="H35" s="99" t="str">
        <x:v>ch31.html</x:v>
      </x:c>
      <x:c r="I35" s="105" t="n">
        <x:v>1</x:v>
      </x:c>
      <x:c r="J35" s="30" t="str"/>
    </x:row>
    <x:row r="36" ht="28" customHeight="1">
      <x:c r="A36" s="90" t="str">
        <x:v>第32章</x:v>
      </x:c>
      <x:c r="B36" s="48" t="str">
        <x:v>たるみを構成する5要素 ―― 骨・脂肪・筋・靭帯・皮膚とボリュームロス</x:v>
      </x:c>
      <x:c r="C36" s="105" t="n">
        <x:v>9398</x:v>
      </x:c>
      <x:c r="D36" s="99" t="str">
        <x:v>問題なし</x:v>
      </x:c>
      <x:c r="E36" s="99" t="str">
        <x:v>あり</x:v>
      </x:c>
      <x:c r="F36" s="99" t="str">
        <x:v>あり</x:v>
      </x:c>
      <x:c r="G36" s="105" t="n">
        <x:v>2</x:v>
      </x:c>
      <x:c r="H36" s="99" t="str">
        <x:v>ch32.html</x:v>
      </x:c>
      <x:c r="I36" s="105" t="n">
        <x:v>6</x:v>
      </x:c>
      <x:c r="J36" s="30" t="str"/>
    </x:row>
    <x:row r="37" ht="28" customHeight="1">
      <x:c r="A37" s="90" t="str">
        <x:v>第33章</x:v>
      </x:c>
      <x:c r="B37" s="48" t="str">
        <x:v>熱・光・機械刺激（RF・laser・HIFU）</x:v>
      </x:c>
      <x:c r="C37" s="105" t="n">
        <x:v>9436</x:v>
      </x:c>
      <x:c r="D37" s="99" t="str">
        <x:v>問題なし</x:v>
      </x:c>
      <x:c r="E37" s="99" t="str">
        <x:v>あり</x:v>
      </x:c>
      <x:c r="F37" s="99" t="str">
        <x:v>なし</x:v>
      </x:c>
      <x:c r="G37" s="105" t="n">
        <x:v>2</x:v>
      </x:c>
      <x:c r="H37" s="99" t="str">
        <x:v>ch33.html</x:v>
      </x:c>
      <x:c r="I37" s="105" t="n">
        <x:v>6</x:v>
      </x:c>
      <x:c r="J37" s="30" t="str"/>
    </x:row>
    <x:row r="38" ht="28" customHeight="1">
      <x:c r="A38" s="90" t="str">
        <x:v>第34章</x:v>
      </x:c>
      <x:c r="B38" s="48" t="str">
        <x:v>ニードルRFの生化学（フラクショナルマイクロニードルRF）</x:v>
      </x:c>
      <x:c r="C38" s="105" t="n">
        <x:v>8868</x:v>
      </x:c>
      <x:c r="D38" s="99" t="str">
        <x:v>問題なし</x:v>
      </x:c>
      <x:c r="E38" s="99" t="str">
        <x:v>あり</x:v>
      </x:c>
      <x:c r="F38" s="99" t="str">
        <x:v>あり</x:v>
      </x:c>
      <x:c r="G38" s="105" t="n">
        <x:v>1</x:v>
      </x:c>
      <x:c r="H38" s="99" t="str">
        <x:v>ch34.html</x:v>
      </x:c>
      <x:c r="I38" s="105" t="n">
        <x:v>6</x:v>
      </x:c>
      <x:c r="J38" s="30" t="str"/>
    </x:row>
    <x:row r="39" ht="28" customHeight="1">
      <x:c r="A39" s="90" t="str">
        <x:v>第35章</x:v>
      </x:c>
      <x:c r="B39" s="48" t="str">
        <x:v>HIFUの生化学（高密度焦点式超音波）</x:v>
      </x:c>
      <x:c r="C39" s="105" t="n">
        <x:v>6569</x:v>
      </x:c>
      <x:c r="D39" s="99" t="str">
        <x:v>問題なし</x:v>
      </x:c>
      <x:c r="E39" s="99" t="str">
        <x:v>あり</x:v>
      </x:c>
      <x:c r="F39" s="99" t="str">
        <x:v>あり</x:v>
      </x:c>
      <x:c r="G39" s="105" t="n">
        <x:v>0</x:v>
      </x:c>
      <x:c r="H39" s="99" t="str">
        <x:v>ch35.html</x:v>
      </x:c>
      <x:c r="I39" s="105" t="n">
        <x:v>6</x:v>
      </x:c>
      <x:c r="J39" s="30" t="str"/>
    </x:row>
    <x:row r="40" ht="28" customHeight="1">
      <x:c r="A40" s="90" t="str">
        <x:v>第36章</x:v>
      </x:c>
      <x:c r="B40" s="48" t="str">
        <x:v>フラクショナルレーザーの生化学</x:v>
      </x:c>
      <x:c r="C40" s="105" t="n">
        <x:v>9392</x:v>
      </x:c>
      <x:c r="D40" s="99" t="str">
        <x:v>問題なし</x:v>
      </x:c>
      <x:c r="E40" s="99" t="str">
        <x:v>あり</x:v>
      </x:c>
      <x:c r="F40" s="99" t="str">
        <x:v>あり</x:v>
      </x:c>
      <x:c r="G40" s="105" t="n">
        <x:v>0</x:v>
      </x:c>
      <x:c r="H40" s="99" t="str">
        <x:v>ch36.html</x:v>
      </x:c>
      <x:c r="I40" s="105" t="n">
        <x:v>6</x:v>
      </x:c>
      <x:c r="J40" s="30" t="str"/>
    </x:row>
    <x:row r="41" ht="28" customHeight="1">
      <x:c r="A41" s="90" t="str">
        <x:v>第37章</x:v>
      </x:c>
      <x:c r="B41" s="48" t="str">
        <x:v>IPL（intense pulsed light）― 広帯域・光治療の生化学</x:v>
      </x:c>
      <x:c r="C41" s="105" t="n">
        <x:v>4978</x:v>
      </x:c>
      <x:c r="D41" s="99" t="str">
        <x:v>問題なし</x:v>
      </x:c>
      <x:c r="E41" s="99" t="str">
        <x:v>あり</x:v>
      </x:c>
      <x:c r="F41" s="99" t="str">
        <x:v>あり</x:v>
      </x:c>
      <x:c r="G41" s="105" t="n">
        <x:v>0</x:v>
      </x:c>
      <x:c r="H41" s="99" t="str">
        <x:v>ch37.html</x:v>
      </x:c>
      <x:c r="I41" s="105" t="n">
        <x:v>3</x:v>
      </x:c>
      <x:c r="J41" s="30" t="str"/>
    </x:row>
    <x:row r="42" ht="28" customHeight="1">
      <x:c r="A42" s="90" t="str">
        <x:v>第38章</x:v>
      </x:c>
      <x:c r="B42" s="48" t="str">
        <x:v>Qスイッチ・ピコ秒レーザー ― メラニンを狙う光機械的破砕</x:v>
      </x:c>
      <x:c r="C42" s="105" t="n">
        <x:v>6413</x:v>
      </x:c>
      <x:c r="D42" s="99" t="str">
        <x:v>要修正：1→2→2→3→4</x:v>
      </x:c>
      <x:c r="E42" s="99" t="str">
        <x:v>あり</x:v>
      </x:c>
      <x:c r="F42" s="99" t="str">
        <x:v>あり</x:v>
      </x:c>
      <x:c r="G42" s="105" t="n">
        <x:v>3</x:v>
      </x:c>
      <x:c r="H42" s="99" t="str">
        <x:v>ch38.html</x:v>
      </x:c>
      <x:c r="I42" s="105" t="n">
        <x:v>2</x:v>
      </x:c>
      <x:c r="J42" s="30" t="str">
        <x:v>節番号の重複・欠番を確認</x:v>
      </x:c>
    </x:row>
    <x:row r="43" ht="28" customHeight="1">
      <x:c r="A43" s="90" t="str">
        <x:v>第39章</x:v>
      </x:c>
      <x:c r="B43" s="48" t="str">
        <x:v>血管レーザー（KTP・PDL・Nd:YAG）― ヘモグロビン標的の光熱凝固</x:v>
      </x:c>
      <x:c r="C43" s="105" t="n">
        <x:v>4872</x:v>
      </x:c>
      <x:c r="D43" s="99" t="str">
        <x:v>問題なし</x:v>
      </x:c>
      <x:c r="E43" s="99" t="str">
        <x:v>あり</x:v>
      </x:c>
      <x:c r="F43" s="99" t="str">
        <x:v>あり</x:v>
      </x:c>
      <x:c r="G43" s="105" t="n">
        <x:v>0</x:v>
      </x:c>
      <x:c r="H43" s="99" t="str">
        <x:v>ch39.html</x:v>
      </x:c>
      <x:c r="I43" s="105" t="n">
        <x:v>2</x:v>
      </x:c>
      <x:c r="J43" s="30" t="str"/>
    </x:row>
    <x:row r="44" ht="28" customHeight="1">
      <x:c r="A44" s="90" t="str">
        <x:v>第40章</x:v>
      </x:c>
      <x:c r="B44" s="48" t="str">
        <x:v>PBM・LEDの生化学（photobiomodulation／LED・低出力レーザー）</x:v>
      </x:c>
      <x:c r="C44" s="105" t="n">
        <x:v>9324</x:v>
      </x:c>
      <x:c r="D44" s="99" t="str">
        <x:v>問題なし</x:v>
      </x:c>
      <x:c r="E44" s="99" t="str">
        <x:v>あり</x:v>
      </x:c>
      <x:c r="F44" s="99" t="str">
        <x:v>あり</x:v>
      </x:c>
      <x:c r="G44" s="105" t="n">
        <x:v>2</x:v>
      </x:c>
      <x:c r="H44" s="99" t="str">
        <x:v>ch40.html</x:v>
      </x:c>
      <x:c r="I44" s="105" t="n">
        <x:v>6</x:v>
      </x:c>
      <x:c r="J44" s="30" t="str"/>
    </x:row>
    <x:row r="45" ht="28" customHeight="1">
      <x:c r="A45" s="90" t="str">
        <x:v>第41章</x:v>
      </x:c>
      <x:c r="B45" s="48" t="str">
        <x:v>赤み（酒さ・血管拡張・紅斑）の生化学</x:v>
      </x:c>
      <x:c r="C45" s="105" t="n">
        <x:v>9644</x:v>
      </x:c>
      <x:c r="D45" s="99" t="str">
        <x:v>問題なし</x:v>
      </x:c>
      <x:c r="E45" s="99" t="str">
        <x:v>あり</x:v>
      </x:c>
      <x:c r="F45" s="99" t="str">
        <x:v>あり</x:v>
      </x:c>
      <x:c r="G45" s="105" t="n">
        <x:v>0</x:v>
      </x:c>
      <x:c r="H45" s="99" t="str">
        <x:v>ch41.html</x:v>
      </x:c>
      <x:c r="I45" s="105" t="n">
        <x:v>6</x:v>
      </x:c>
      <x:c r="J45" s="30" t="str"/>
    </x:row>
    <x:row r="46" ht="28" customHeight="1">
      <x:c r="A46" s="90" t="str">
        <x:v>第42章</x:v>
      </x:c>
      <x:c r="B46" s="48" t="str">
        <x:v>プラズマ治療（窒素プラズマ・cold atmospheric plasma）</x:v>
      </x:c>
      <x:c r="C46" s="105" t="n">
        <x:v>7960</x:v>
      </x:c>
      <x:c r="D46" s="99" t="str">
        <x:v>問題なし</x:v>
      </x:c>
      <x:c r="E46" s="99" t="str">
        <x:v>あり</x:v>
      </x:c>
      <x:c r="F46" s="99" t="str">
        <x:v>あり</x:v>
      </x:c>
      <x:c r="G46" s="105" t="n">
        <x:v>0</x:v>
      </x:c>
      <x:c r="H46" s="99" t="str">
        <x:v>ch42.html</x:v>
      </x:c>
      <x:c r="I46" s="105" t="n">
        <x:v>6</x:v>
      </x:c>
      <x:c r="J46" s="30" t="str"/>
    </x:row>
    <x:row r="47" ht="28" customHeight="1">
      <x:c r="A47" s="90" t="str">
        <x:v>第43章</x:v>
      </x:c>
      <x:c r="B47" s="48" t="str">
        <x:v>肌育治療を細胞生物学で読む</x:v>
      </x:c>
      <x:c r="C47" s="105" t="n">
        <x:v>5738</x:v>
      </x:c>
      <x:c r="D47" s="99" t="str">
        <x:v>問題なし</x:v>
      </x:c>
      <x:c r="E47" s="99" t="str">
        <x:v>あり</x:v>
      </x:c>
      <x:c r="F47" s="99" t="str">
        <x:v>なし</x:v>
      </x:c>
      <x:c r="G47" s="105" t="n">
        <x:v>0</x:v>
      </x:c>
      <x:c r="H47" s="99" t="str">
        <x:v>ch43.html</x:v>
      </x:c>
      <x:c r="I47" s="105" t="n">
        <x:v>6</x:v>
      </x:c>
      <x:c r="J47" s="30" t="str"/>
    </x:row>
    <x:row r="48" ht="28" customHeight="1">
      <x:c r="A48" s="90" t="str">
        <x:v>第44章</x:v>
      </x:c>
      <x:c r="B48" s="48" t="str">
        <x:v>エクソソームと幹細胞培養上清（secretome）</x:v>
      </x:c>
      <x:c r="C48" s="105" t="n">
        <x:v>4909</x:v>
      </x:c>
      <x:c r="D48" s="99" t="str">
        <x:v>問題なし</x:v>
      </x:c>
      <x:c r="E48" s="99" t="str">
        <x:v>あり</x:v>
      </x:c>
      <x:c r="F48" s="99" t="str">
        <x:v>なし</x:v>
      </x:c>
      <x:c r="G48" s="105" t="n">
        <x:v>0</x:v>
      </x:c>
      <x:c r="H48" s="99" t="str">
        <x:v>ch44.html</x:v>
      </x:c>
      <x:c r="I48" s="105" t="n">
        <x:v>6</x:v>
      </x:c>
      <x:c r="J48" s="30" t="str"/>
    </x:row>
    <x:row r="49" ht="28" customHeight="1">
      <x:c r="A49" s="90" t="str">
        <x:v>第45章</x:v>
      </x:c>
      <x:c r="B49" s="48" t="str">
        <x:v>バイオスティミュレーター（PLLA・PDLLA・CaHA・PCL・PN/PDRN）</x:v>
      </x:c>
      <x:c r="C49" s="105" t="n">
        <x:v>6534</x:v>
      </x:c>
      <x:c r="D49" s="99" t="str">
        <x:v>問題なし</x:v>
      </x:c>
      <x:c r="E49" s="99" t="str">
        <x:v>あり</x:v>
      </x:c>
      <x:c r="F49" s="99" t="str">
        <x:v>あり</x:v>
      </x:c>
      <x:c r="G49" s="105" t="n">
        <x:v>6</x:v>
      </x:c>
      <x:c r="H49" s="99" t="str">
        <x:v>ch45.html</x:v>
      </x:c>
      <x:c r="I49" s="105" t="n">
        <x:v>6</x:v>
      </x:c>
      <x:c r="J49" s="30" t="str"/>
    </x:row>
    <x:row r="50" ht="28" customHeight="1">
      <x:c r="A50" s="90" t="str">
        <x:v>第46章</x:v>
      </x:c>
      <x:c r="B50" s="48" t="str">
        <x:v>メラノサイトと色素形成 ―― しみの細胞生物学</x:v>
      </x:c>
      <x:c r="C50" s="105" t="n">
        <x:v>10708</x:v>
      </x:c>
      <x:c r="D50" s="99" t="str">
        <x:v>問題なし</x:v>
      </x:c>
      <x:c r="E50" s="99" t="str">
        <x:v>あり</x:v>
      </x:c>
      <x:c r="F50" s="99" t="str">
        <x:v>あり</x:v>
      </x:c>
      <x:c r="G50" s="105" t="n">
        <x:v>1</x:v>
      </x:c>
      <x:c r="H50" s="99" t="str">
        <x:v>ch46.html</x:v>
      </x:c>
      <x:c r="I50" s="105" t="n">
        <x:v>6</x:v>
      </x:c>
      <x:c r="J50" s="30" t="str"/>
    </x:row>
    <x:row r="51" ht="28" customHeight="1">
      <x:c r="A51" s="90" t="str">
        <x:v>第47章</x:v>
      </x:c>
      <x:c r="B51" s="48" t="str">
        <x:v>美白外用の生化学（hydroquinone・tranexamic acid・vitamin C ほか）</x:v>
      </x:c>
      <x:c r="C51" s="105" t="n">
        <x:v>10317</x:v>
      </x:c>
      <x:c r="D51" s="99" t="str">
        <x:v>問題なし</x:v>
      </x:c>
      <x:c r="E51" s="99" t="str">
        <x:v>あり</x:v>
      </x:c>
      <x:c r="F51" s="99" t="str">
        <x:v>あり</x:v>
      </x:c>
      <x:c r="G51" s="105" t="n">
        <x:v>3</x:v>
      </x:c>
      <x:c r="H51" s="99" t="str">
        <x:v>ch47.html</x:v>
      </x:c>
      <x:c r="I51" s="105" t="n">
        <x:v>6</x:v>
      </x:c>
      <x:c r="J51" s="30" t="str"/>
    </x:row>
    <x:row r="52" ht="28" customHeight="1">
      <x:c r="A52" s="90" t="str">
        <x:v>第48章</x:v>
      </x:c>
      <x:c r="B52" s="48" t="str">
        <x:v>ケミカルピーリングの生化学</x:v>
      </x:c>
      <x:c r="C52" s="105" t="n">
        <x:v>12194</x:v>
      </x:c>
      <x:c r="D52" s="99" t="str">
        <x:v>問題なし</x:v>
      </x:c>
      <x:c r="E52" s="99" t="str">
        <x:v>あり</x:v>
      </x:c>
      <x:c r="F52" s="99" t="str">
        <x:v>あり</x:v>
      </x:c>
      <x:c r="G52" s="105" t="n">
        <x:v>0</x:v>
      </x:c>
      <x:c r="H52" s="99" t="str">
        <x:v>ch48.html</x:v>
      </x:c>
      <x:c r="I52" s="105" t="n">
        <x:v>6</x:v>
      </x:c>
      <x:c r="J52" s="30" t="str"/>
    </x:row>
    <x:row r="53" ht="28" customHeight="1">
      <x:c r="A53" s="90" t="str">
        <x:v>第49章</x:v>
      </x:c>
      <x:c r="B53" s="48" t="str">
        <x:v>脂肪</x:v>
      </x:c>
      <x:c r="C53" s="105" t="n">
        <x:v>8375</x:v>
      </x:c>
      <x:c r="D53" s="99" t="str">
        <x:v>問題なし</x:v>
      </x:c>
      <x:c r="E53" s="99" t="str">
        <x:v>あり</x:v>
      </x:c>
      <x:c r="F53" s="99" t="str">
        <x:v>あり</x:v>
      </x:c>
      <x:c r="G53" s="105" t="n">
        <x:v>1</x:v>
      </x:c>
      <x:c r="H53" s="99" t="str">
        <x:v>ch49.html</x:v>
      </x:c>
      <x:c r="I53" s="105" t="n">
        <x:v>4</x:v>
      </x:c>
      <x:c r="J53" s="30" t="str"/>
    </x:row>
    <x:row r="54" ht="28" customHeight="1">
      <x:c r="A54" s="90" t="str">
        <x:v>第50章</x:v>
      </x:c>
      <x:c r="B54" s="48" t="str">
        <x:v>皮脂分泌の生化学 ―― なぜ皮脂腺は抑えにくいのか</x:v>
      </x:c>
      <x:c r="C54" s="105" t="n">
        <x:v>12250</x:v>
      </x:c>
      <x:c r="D54" s="99" t="str">
        <x:v>問題なし</x:v>
      </x:c>
      <x:c r="E54" s="99" t="str">
        <x:v>あり</x:v>
      </x:c>
      <x:c r="F54" s="99" t="str">
        <x:v>あり</x:v>
      </x:c>
      <x:c r="G54" s="105" t="n">
        <x:v>3</x:v>
      </x:c>
      <x:c r="H54" s="99" t="str">
        <x:v>ch50.html</x:v>
      </x:c>
      <x:c r="I54" s="105" t="n">
        <x:v>6</x:v>
      </x:c>
      <x:c r="J54" s="30" t="str"/>
    </x:row>
    <x:row r="55" ht="28" customHeight="1">
      <x:c r="A55" s="90" t="str">
        <x:v>第51章</x:v>
      </x:c>
      <x:c r="B55" s="48" t="str">
        <x:v>脂肪を減らす治療（cryolipolysis とデオキシコール酸）</x:v>
      </x:c>
      <x:c r="C55" s="105" t="n">
        <x:v>10641</x:v>
      </x:c>
      <x:c r="D55" s="99" t="str">
        <x:v>問題なし</x:v>
      </x:c>
      <x:c r="E55" s="99" t="str">
        <x:v>あり</x:v>
      </x:c>
      <x:c r="F55" s="99" t="str">
        <x:v>あり</x:v>
      </x:c>
      <x:c r="G55" s="105" t="n">
        <x:v>5</x:v>
      </x:c>
      <x:c r="H55" s="99" t="str">
        <x:v>ch51.html</x:v>
      </x:c>
      <x:c r="I55" s="105" t="n">
        <x:v>8</x:v>
      </x:c>
      <x:c r="J55" s="30" t="str"/>
    </x:row>
    <x:row r="56" ht="28" customHeight="1">
      <x:c r="A56" s="90" t="str">
        <x:v>第52章</x:v>
      </x:c>
      <x:c r="B56" s="48" t="str">
        <x:v>筋肉（myocyteと電磁刺激）</x:v>
      </x:c>
      <x:c r="C56" s="105" t="n">
        <x:v>7698</x:v>
      </x:c>
      <x:c r="D56" s="99" t="str">
        <x:v>問題なし</x:v>
      </x:c>
      <x:c r="E56" s="99" t="str">
        <x:v>あり</x:v>
      </x:c>
      <x:c r="F56" s="99" t="str">
        <x:v>あり</x:v>
      </x:c>
      <x:c r="G56" s="105" t="n">
        <x:v>2</x:v>
      </x:c>
      <x:c r="H56" s="99" t="str">
        <x:v>ch52.html</x:v>
      </x:c>
      <x:c r="I56" s="105" t="n">
        <x:v>6</x:v>
      </x:c>
      <x:c r="J56" s="30" t="str"/>
    </x:row>
    <x:row r="57" ht="28" customHeight="1">
      <x:c r="A57" s="90" t="str">
        <x:v>第53章</x:v>
      </x:c>
      <x:c r="B57" s="48" t="str">
        <x:v>ボツリヌストキシンの生化学（botulinum toxin, BoNT）</x:v>
      </x:c>
      <x:c r="C57" s="105" t="n">
        <x:v>9798</x:v>
      </x:c>
      <x:c r="D57" s="99" t="str">
        <x:v>問題なし</x:v>
      </x:c>
      <x:c r="E57" s="99" t="str">
        <x:v>あり</x:v>
      </x:c>
      <x:c r="F57" s="99" t="str">
        <x:v>あり</x:v>
      </x:c>
      <x:c r="G57" s="105" t="n">
        <x:v>7</x:v>
      </x:c>
      <x:c r="H57" s="99" t="str">
        <x:v>ch53.html</x:v>
      </x:c>
      <x:c r="I57" s="105" t="n">
        <x:v>6</x:v>
      </x:c>
      <x:c r="J57" s="30" t="str"/>
    </x:row>
    <x:row r="58" ht="28" customHeight="1">
      <x:c r="A58" s="90" t="str">
        <x:v>第54章</x:v>
      </x:c>
      <x:c r="B58" s="48" t="str">
        <x:v>NAD⁺前駆体（NMN・NR・NAM・niacin）</x:v>
      </x:c>
      <x:c r="C58" s="105" t="n">
        <x:v>12037</x:v>
      </x:c>
      <x:c r="D58" s="99" t="str">
        <x:v>問題なし</x:v>
      </x:c>
      <x:c r="E58" s="99" t="str">
        <x:v>あり</x:v>
      </x:c>
      <x:c r="F58" s="99" t="str">
        <x:v>あり</x:v>
      </x:c>
      <x:c r="G58" s="105" t="n">
        <x:v>2</x:v>
      </x:c>
      <x:c r="H58" s="99" t="str">
        <x:v>ch54.html</x:v>
      </x:c>
      <x:c r="I58" s="105" t="n">
        <x:v>6</x:v>
      </x:c>
      <x:c r="J58" s="30" t="str"/>
    </x:row>
    <x:row r="59" ht="28" customHeight="1">
      <x:c r="A59" s="90" t="str">
        <x:v>第55章</x:v>
      </x:c>
      <x:c r="B59" s="48" t="str">
        <x:v>senolytic・mitophagy関連介入（senolytic・senomorphic・urolithin A・spermidine）</x:v>
      </x:c>
      <x:c r="C59" s="105" t="n">
        <x:v>14200</x:v>
      </x:c>
      <x:c r="D59" s="99" t="str">
        <x:v>問題なし</x:v>
      </x:c>
      <x:c r="E59" s="99" t="str">
        <x:v>あり</x:v>
      </x:c>
      <x:c r="F59" s="99" t="str">
        <x:v>あり</x:v>
      </x:c>
      <x:c r="G59" s="105" t="n">
        <x:v>0</x:v>
      </x:c>
      <x:c r="H59" s="99" t="str">
        <x:v>ch55.html</x:v>
      </x:c>
      <x:c r="I59" s="105" t="n">
        <x:v>6</x:v>
      </x:c>
      <x:c r="J59" s="30" t="str"/>
    </x:row>
    <x:row r="60" ht="28" customHeight="1">
      <x:c r="A60" s="91" t="str">
        <x:v>最終章</x:v>
      </x:c>
      <x:c r="B60" s="49" t="str">
        <x:v>美容医療を細胞から考える</x:v>
      </x:c>
      <x:c r="C60" s="106" t="n">
        <x:v>8097</x:v>
      </x:c>
      <x:c r="D60" s="100" t="str">
        <x:v>問題なし</x:v>
      </x:c>
      <x:c r="E60" s="100" t="str">
        <x:v>なし</x:v>
      </x:c>
      <x:c r="F60" s="100" t="str">
        <x:v>なし</x:v>
      </x:c>
      <x:c r="G60" s="106" t="n">
        <x:v>0</x:v>
      </x:c>
      <x:c r="H60" s="100" t="str">
        <x:v>final.html</x:v>
      </x:c>
      <x:c r="I60" s="106" t="n">
        <x:v>8</x:v>
      </x:c>
      <x:c r="J60" s="32" t="str"/>
    </x:row>
  </x:sheetData>
  <x:mergeCells>
    <x:mergeCell ref="A1:J1"/>
    <x:mergeCell ref="A2:J2"/>
  </x:mergeCells>
  <x:pageMargins left="0.7" right="0.7" top="0.75" bottom="0.75" header="0.3" footer="0.3"/>
  <x:tableParts count="1">
    <x:tablePart xmlns:r="http://schemas.openxmlformats.org/officeDocument/2006/relationships" r:id="R3d7aeb3c60284675"/>
  </x:tableParts>
</x:worksheet>
</file>